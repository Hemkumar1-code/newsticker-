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nkStation P510\Desktop\"/>
    </mc:Choice>
  </mc:AlternateContent>
  <xr:revisionPtr revIDLastSave="0" documentId="13_ncr:1_{A9EAEB77-924F-4138-ACBC-1DFD35B9B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TOCK" sheetId="2" r:id="rId2"/>
    <sheet name="Sheet2" sheetId="3" r:id="rId3"/>
  </sheets>
  <definedNames>
    <definedName name="_xlnm._FilterDatabase" localSheetId="0" hidden="1">Sheet1!$A$2:$J$68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M28" i="1"/>
  <c r="S49" i="3"/>
  <c r="S48" i="3"/>
  <c r="S46" i="3"/>
  <c r="S45" i="3"/>
  <c r="R50" i="3"/>
  <c r="P14" i="1" l="1"/>
  <c r="P50" i="3"/>
  <c r="P49" i="3"/>
  <c r="P48" i="3"/>
  <c r="P47" i="3"/>
  <c r="P46" i="3"/>
  <c r="P44" i="3"/>
  <c r="P43" i="3"/>
  <c r="P42" i="3"/>
  <c r="P41" i="3"/>
  <c r="P40" i="3"/>
  <c r="P39" i="3"/>
  <c r="P38" i="3"/>
  <c r="P36" i="3"/>
  <c r="P35" i="3"/>
  <c r="P34" i="3"/>
  <c r="P33" i="3"/>
  <c r="P32" i="3"/>
  <c r="P31" i="3"/>
  <c r="P30" i="3"/>
  <c r="P28" i="3"/>
  <c r="P27" i="3"/>
  <c r="P26" i="3"/>
  <c r="P25" i="3"/>
  <c r="P24" i="3"/>
  <c r="P23" i="3"/>
  <c r="P22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52" i="3" s="1"/>
  <c r="G6" i="2"/>
  <c r="F6" i="2"/>
  <c r="E6" i="2"/>
  <c r="H108" i="1"/>
  <c r="E87" i="1"/>
  <c r="G86" i="1"/>
  <c r="G81" i="1"/>
  <c r="E80" i="1"/>
  <c r="E79" i="1"/>
  <c r="E78" i="1"/>
  <c r="E77" i="1"/>
  <c r="E76" i="1"/>
  <c r="I73" i="1"/>
  <c r="N29" i="1"/>
</calcChain>
</file>

<file path=xl/sharedStrings.xml><?xml version="1.0" encoding="utf-8"?>
<sst xmlns="http://schemas.openxmlformats.org/spreadsheetml/2006/main" count="589" uniqueCount="208">
  <si>
    <t>CHILDISH LONDON — ORDER QUANTITY SHEET - 22.06.26</t>
  </si>
  <si>
    <t>Style BBG06 Baby Grow | 200 GSM Organic Interlock | Solid Dyed</t>
  </si>
  <si>
    <t>FABRIC</t>
  </si>
  <si>
    <t>SEWING THREAD</t>
  </si>
  <si>
    <t>WOVEN LABEL</t>
  </si>
  <si>
    <t>SIZE LABEL</t>
  </si>
  <si>
    <t>SWING TICKET</t>
  </si>
  <si>
    <t>BAND</t>
  </si>
  <si>
    <t>BAG</t>
  </si>
  <si>
    <t>HANG TAG FIXING</t>
  </si>
  <si>
    <t>COMMENTS</t>
  </si>
  <si>
    <t>S.NO</t>
  </si>
  <si>
    <t>STYLE NO</t>
  </si>
  <si>
    <t>COLOR</t>
  </si>
  <si>
    <t>PLACEMENT PRINT</t>
  </si>
  <si>
    <t>QTY</t>
  </si>
  <si>
    <t>NOTE</t>
  </si>
  <si>
    <t>BBG06</t>
  </si>
  <si>
    <t>UNDYED</t>
  </si>
  <si>
    <t>200 GSM INTERLOCK FABRIC</t>
  </si>
  <si>
    <t>ENJOY MILK</t>
  </si>
  <si>
    <t>received</t>
  </si>
  <si>
    <t>Thread inhoused</t>
  </si>
  <si>
    <t>MB ORGANIC</t>
  </si>
  <si>
    <t>YES</t>
  </si>
  <si>
    <t>N/A</t>
  </si>
  <si>
    <t>BRANDED BIO DEGRADABLE POLY BAG</t>
  </si>
  <si>
    <t>Pin through size label</t>
  </si>
  <si>
    <t>YOU BLOW MY MIND</t>
  </si>
  <si>
    <t>SLEEP THIEF</t>
  </si>
  <si>
    <t>TRAVERTINE - Pantone 15-1114 TCX</t>
  </si>
  <si>
    <t>ALMOND OAT</t>
  </si>
  <si>
    <t>OATMEAL - Pantone13-0401 TCX</t>
  </si>
  <si>
    <t>SPIRITUALLY AWAKE</t>
  </si>
  <si>
    <t>RAISON D'ETRE</t>
  </si>
  <si>
    <t>SWAMP - Pantone 15-6310 TCX</t>
  </si>
  <si>
    <t>MANIFESTED</t>
  </si>
  <si>
    <t>GRAY LILAC - Pantone 13-3804 TCX</t>
  </si>
  <si>
    <t>MADLY &amp; DEEPLY</t>
  </si>
  <si>
    <t>SHIFTING SAND - Pantone 14-1210 TCX</t>
  </si>
  <si>
    <t>SISTER</t>
  </si>
  <si>
    <t>FORGIVE YOUR MOTHER</t>
  </si>
  <si>
    <t>GREY MIST - Pantone 15-4706 TCX</t>
  </si>
  <si>
    <t>BROTHER</t>
  </si>
  <si>
    <t>GREEN BAY - Pantone 16-5810 TCX</t>
  </si>
  <si>
    <t>MAMA'S NEW MAN</t>
  </si>
  <si>
    <t>SUBTOTAL</t>
  </si>
  <si>
    <t>Style BBG06 Baby Grow | 200 GSM Organic Interlock | Digital Printed</t>
  </si>
  <si>
    <t>AOP PRINT</t>
  </si>
  <si>
    <t>WHITE</t>
  </si>
  <si>
    <t>PONY PRINT</t>
  </si>
  <si>
    <t>MENAGERIE PRINT</t>
  </si>
  <si>
    <t>FOLKLORE PRINT</t>
  </si>
  <si>
    <t>FLORA &amp; FAUNA PRINT</t>
  </si>
  <si>
    <t>WILDING PRINT</t>
  </si>
  <si>
    <t>BIRDY</t>
  </si>
  <si>
    <t>FLORAL CARDS PRINT</t>
  </si>
  <si>
    <t>Style CT01 | 180 GSM Single Jersey | Solid Dyed</t>
  </si>
  <si>
    <t>SIZE 3Y</t>
  </si>
  <si>
    <t>SIZE 4Y</t>
  </si>
  <si>
    <t>SIZE 5Y</t>
  </si>
  <si>
    <t>CT01</t>
  </si>
  <si>
    <t>180 GSM SINGLE JERSEY FABRIC</t>
  </si>
  <si>
    <t>NUMBER 3</t>
  </si>
  <si>
    <t>NUMBER 4</t>
  </si>
  <si>
    <t>NUMBER 5</t>
  </si>
  <si>
    <t>Revised (300)</t>
  </si>
  <si>
    <t>Style BT01 Baby Printed T-Shirt | 180 GSM Single Jersey | Solid Dyed</t>
  </si>
  <si>
    <t>SIZE 1Y</t>
  </si>
  <si>
    <t>SIZE 2Y</t>
  </si>
  <si>
    <t>Pin to woven brand label - bottom right corner</t>
  </si>
  <si>
    <t>BT01</t>
  </si>
  <si>
    <t>NUMBER 1</t>
  </si>
  <si>
    <t>NUMBER 2</t>
  </si>
  <si>
    <t>Revised (200)</t>
  </si>
  <si>
    <t>Style BB04 Frilled Blanket | 180 GSM Single Jersey | Digital Printed</t>
  </si>
  <si>
    <t>SINGLE SIZE</t>
  </si>
  <si>
    <t>NO</t>
  </si>
  <si>
    <t>YES with INSERT</t>
  </si>
  <si>
    <t>N/R</t>
  </si>
  <si>
    <t>See artwork - to follow</t>
  </si>
  <si>
    <t>BB04</t>
  </si>
  <si>
    <t>Style BB05 Blanket | 180 GSM Single Jersey | Digital Printed Fabric</t>
  </si>
  <si>
    <t>SINGLE RIB COLOR</t>
  </si>
  <si>
    <t>BB05</t>
  </si>
  <si>
    <t>Style BB07 Hat | 200 GSM Organic Interlock | Digital Printed</t>
  </si>
  <si>
    <t>FABRIC COLOR</t>
  </si>
  <si>
    <t>0-6 MTHS</t>
  </si>
  <si>
    <t>6-12 MTHS</t>
  </si>
  <si>
    <t>MB ORGANIC WITH SIZE</t>
  </si>
  <si>
    <t>NO (size inc on label)</t>
  </si>
  <si>
    <t>BB07</t>
  </si>
  <si>
    <t>GRAND TOTAL — ALL STYLES</t>
  </si>
  <si>
    <t>SAMPLE</t>
  </si>
  <si>
    <t>EXTRA %</t>
  </si>
  <si>
    <t>TRAVERTINE</t>
  </si>
  <si>
    <t>OATMEAL</t>
  </si>
  <si>
    <t>SWAMP</t>
  </si>
  <si>
    <t>GRAY LILAC</t>
  </si>
  <si>
    <t>SHITING SAND</t>
  </si>
  <si>
    <t>GREY MIST</t>
  </si>
  <si>
    <t>GREEN BAY</t>
  </si>
  <si>
    <t>BLACK</t>
  </si>
  <si>
    <t>CATHAY SPICE</t>
  </si>
  <si>
    <t>TORTOISE SHELL</t>
  </si>
  <si>
    <t>S.no</t>
  </si>
  <si>
    <t>Particulars</t>
  </si>
  <si>
    <t xml:space="preserve">Washcare Label </t>
  </si>
  <si>
    <t>Main label</t>
  </si>
  <si>
    <t>Size Label</t>
  </si>
  <si>
    <t>Hangtag</t>
  </si>
  <si>
    <t>Bellyband</t>
  </si>
  <si>
    <t>Rope</t>
  </si>
  <si>
    <t>Pin</t>
  </si>
  <si>
    <t>Inlaycard</t>
  </si>
  <si>
    <t>Total Order Qty</t>
  </si>
  <si>
    <t>2 BOX</t>
  </si>
  <si>
    <t>6M</t>
  </si>
  <si>
    <t>9M</t>
  </si>
  <si>
    <t>3M</t>
  </si>
  <si>
    <t>Size</t>
  </si>
  <si>
    <t>Size2</t>
  </si>
  <si>
    <t>Size3</t>
  </si>
  <si>
    <t>Size4</t>
  </si>
  <si>
    <t xml:space="preserve">               CHILDISH LONDON LTD</t>
  </si>
  <si>
    <t>PURCHASE ORDER</t>
  </si>
  <si>
    <t>BRAND: MINTY BLANDFORD ORGANIC</t>
  </si>
  <si>
    <t>DATE:</t>
  </si>
  <si>
    <t>SUPPLIER</t>
  </si>
  <si>
    <t>MACROFAST</t>
  </si>
  <si>
    <t>FORUM HOUSE, STIRLING ROAD, PO19 7DN, UK</t>
  </si>
  <si>
    <t>Tel: 00 44 (0) 208  058 5311 E: deborah@childishlondon.com</t>
  </si>
  <si>
    <t>CONTACT</t>
  </si>
  <si>
    <t>JABARESH</t>
  </si>
  <si>
    <t>SEASON: LAUNCH</t>
  </si>
  <si>
    <t>Order Number MB - Launch - BTL</t>
  </si>
  <si>
    <t xml:space="preserve">EX INDIA: </t>
  </si>
  <si>
    <t>w/c 21/09/26</t>
  </si>
  <si>
    <t>TOTAL UNITS</t>
  </si>
  <si>
    <t>STYLE CODE</t>
  </si>
  <si>
    <t>STYLE NAME: to be used on packaging</t>
  </si>
  <si>
    <t>FABRIC QUALITY/ COLOUR/PRINT NAME</t>
  </si>
  <si>
    <t>COLOUR NAME to be used on packaging</t>
  </si>
  <si>
    <t>ONE SIZE</t>
  </si>
  <si>
    <t>0-3M</t>
  </si>
  <si>
    <t>3-6M</t>
  </si>
  <si>
    <t>6-12M</t>
  </si>
  <si>
    <t>0-6M</t>
  </si>
  <si>
    <t>1YR</t>
  </si>
  <si>
    <t>2YR</t>
  </si>
  <si>
    <t>3YR</t>
  </si>
  <si>
    <t>4YR</t>
  </si>
  <si>
    <t>5YR</t>
  </si>
  <si>
    <t>BABYGROW 'ENJOY MILK'</t>
  </si>
  <si>
    <t>BABYGROW 'YOU BLOW MY MIND'</t>
  </si>
  <si>
    <t>BABYGROW 'SLEEP THEIF'</t>
  </si>
  <si>
    <t>GROUNDED</t>
  </si>
  <si>
    <t xml:space="preserve">BABYGROW 'ALMOND, OAT' </t>
  </si>
  <si>
    <t xml:space="preserve">TRAVERTINE </t>
  </si>
  <si>
    <t>BABYGROW 'SPIRITUALLY AWAKE'</t>
  </si>
  <si>
    <t>MOONBEAM</t>
  </si>
  <si>
    <t>BABYGROW 'RASION D'ETRE'</t>
  </si>
  <si>
    <t>BABYGROW 'MANIFESTED'</t>
  </si>
  <si>
    <t>BOTANICAL</t>
  </si>
  <si>
    <t>BABYGROW 'MADLY &amp; DEEPLY'</t>
  </si>
  <si>
    <t>RADIANCE</t>
  </si>
  <si>
    <t>BABYGROW 'SISTER'</t>
  </si>
  <si>
    <t>SHIFTING SAND</t>
  </si>
  <si>
    <t>DOLL</t>
  </si>
  <si>
    <t>BABYGROW 'FORGIVE YOUR MOTHER'</t>
  </si>
  <si>
    <t>BABYGROW 'BROTHER'</t>
  </si>
  <si>
    <t>WATER</t>
  </si>
  <si>
    <t>BABYGROW'FORVIVE YOUR MOTHER'</t>
  </si>
  <si>
    <t>BABYGROW 'MAMA'S NEW MAN'</t>
  </si>
  <si>
    <t>EUCALYPTUS</t>
  </si>
  <si>
    <t xml:space="preserve">BABYGROW </t>
  </si>
  <si>
    <t>BIRDIE</t>
  </si>
  <si>
    <t>WILDING</t>
  </si>
  <si>
    <t>SCENTED BLOOMS</t>
  </si>
  <si>
    <t>FLORAL CARDS</t>
  </si>
  <si>
    <t>VINTAGE POSIES</t>
  </si>
  <si>
    <t>FOLK</t>
  </si>
  <si>
    <t>FOLKLORE</t>
  </si>
  <si>
    <t>PONY</t>
  </si>
  <si>
    <t>FLORA &amp; FAUNA</t>
  </si>
  <si>
    <t>MENAGERIE</t>
  </si>
  <si>
    <t>BLANKET 'THE NOWHERE ELSE TO BE'</t>
  </si>
  <si>
    <t>BH07</t>
  </si>
  <si>
    <t>BONNET</t>
  </si>
  <si>
    <t>BABY BIRTHDAY T'SHIRT - 1</t>
  </si>
  <si>
    <t>BABY BIRTHDAY T'SHIRT - 2</t>
  </si>
  <si>
    <t>CHILD BIRTHDAY T'SHIRT - 3</t>
  </si>
  <si>
    <t>CTO1</t>
  </si>
  <si>
    <t>CHILD BIRTHDAY T'SHIRT - 4</t>
  </si>
  <si>
    <t>GRAY MIST</t>
  </si>
  <si>
    <t>CHILD BIRTHDAY T'SHIRT- 5</t>
  </si>
  <si>
    <t>516+72</t>
  </si>
  <si>
    <t>au26mrlblgd128</t>
  </si>
  <si>
    <t>au26mrlblgd122</t>
  </si>
  <si>
    <t>au26mrlblgd116</t>
  </si>
  <si>
    <t>au26mrlblgd110</t>
  </si>
  <si>
    <t>au26mrlblgd104</t>
  </si>
  <si>
    <t>au26mrlblgd98</t>
  </si>
  <si>
    <t>au26mrlblgd86</t>
  </si>
  <si>
    <t>0-6</t>
  </si>
  <si>
    <t>3-6m</t>
  </si>
  <si>
    <t>0-3m</t>
  </si>
  <si>
    <t>6-12m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</si>
</sst>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d/mmm/yy"/>
  </numFmts>
  <fonts count="28">
    <font>
      <sz val="10"/>
      <color rgb="FF000000"/>
      <name val="Arial"/>
      <scheme val="minor"/>
    </font>
    <font>
      <b/>
      <sz val="16"/>
      <color theme="1"/>
      <name val="Arial"/>
    </font>
    <font>
      <sz val="11"/>
      <color rgb="FF000000"/>
      <name val="Calibri"/>
    </font>
    <font>
      <b/>
      <sz val="11"/>
      <color rgb="FF006100"/>
      <name val="Calibri"/>
    </font>
    <font>
      <b/>
      <u/>
      <sz val="9"/>
      <color rgb="FF0000FF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name val="Arial"/>
    </font>
    <font>
      <b/>
      <sz val="10"/>
      <color theme="1"/>
      <name val="Arial"/>
    </font>
    <font>
      <sz val="11"/>
      <color theme="1"/>
      <name val="Calibri"/>
    </font>
    <font>
      <b/>
      <sz val="11"/>
      <color rgb="FF9C6500"/>
      <name val="Calibri"/>
    </font>
    <font>
      <b/>
      <sz val="11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theme="1"/>
      <name val="Avenir"/>
      <charset val="134"/>
    </font>
    <font>
      <sz val="12"/>
      <color theme="1"/>
      <name val="Avenir"/>
      <charset val="134"/>
    </font>
    <font>
      <b/>
      <sz val="12"/>
      <color theme="1"/>
      <name val="Avenir"/>
      <charset val="134"/>
    </font>
    <font>
      <b/>
      <sz val="9"/>
      <color theme="1"/>
      <name val="Avenir"/>
      <charset val="134"/>
    </font>
    <font>
      <b/>
      <sz val="12"/>
      <name val="Avenir"/>
      <charset val="134"/>
    </font>
    <font>
      <sz val="12"/>
      <name val="Avenir"/>
      <charset val="134"/>
    </font>
    <font>
      <b/>
      <sz val="12"/>
      <color rgb="FFFF0000"/>
      <name val="Avenir"/>
      <charset val="134"/>
    </font>
    <font>
      <b/>
      <sz val="10"/>
      <color theme="1"/>
      <name val="Avenir"/>
    </font>
    <font>
      <b/>
      <sz val="10"/>
      <color rgb="FF000000"/>
      <name val="Avenir"/>
    </font>
    <font>
      <b/>
      <sz val="10"/>
      <name val="Avenir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3F3F3"/>
        <bgColor rgb="FFF3F3F3"/>
      </patternFill>
    </fill>
    <fill>
      <patternFill patternType="solid">
        <fgColor theme="0" tint="-0.14996795556505021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rgb="FFFAF0E6"/>
        <bgColor rgb="FFFDEADA"/>
      </patternFill>
    </fill>
    <fill>
      <patternFill patternType="solid">
        <fgColor theme="0"/>
        <bgColor rgb="FFFAF0E6"/>
      </patternFill>
    </fill>
  </fills>
  <borders count="1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0" xfId="0" applyFont="1" applyFill="1"/>
    <xf numFmtId="0" fontId="10" fillId="4" borderId="1" xfId="0" applyFont="1" applyFill="1" applyBorder="1" applyAlignment="1">
      <alignment horizontal="center"/>
    </xf>
    <xf numFmtId="0" fontId="2" fillId="5" borderId="0" xfId="0" applyFont="1" applyFill="1"/>
    <xf numFmtId="0" fontId="12" fillId="2" borderId="1" xfId="0" applyFont="1" applyFill="1" applyBorder="1" applyAlignment="1">
      <alignment horizontal="center"/>
    </xf>
    <xf numFmtId="0" fontId="13" fillId="0" borderId="0" xfId="0" applyFont="1"/>
    <xf numFmtId="4" fontId="13" fillId="0" borderId="0" xfId="0" applyNumberFormat="1" applyFont="1"/>
    <xf numFmtId="0" fontId="0" fillId="0" borderId="5" xfId="0" applyBorder="1"/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4" fillId="0" borderId="7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8" fillId="0" borderId="12" xfId="0" applyFont="1" applyBorder="1"/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164" fontId="20" fillId="0" borderId="12" xfId="0" applyNumberFormat="1" applyFont="1" applyBorder="1" applyAlignment="1">
      <alignment horizontal="center" vertical="center" wrapText="1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8" fillId="0" borderId="16" xfId="0" applyFont="1" applyBorder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17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21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2" fillId="9" borderId="5" xfId="0" applyFont="1" applyFill="1" applyBorder="1"/>
    <xf numFmtId="0" fontId="21" fillId="9" borderId="5" xfId="0" applyFont="1" applyFill="1" applyBorder="1"/>
    <xf numFmtId="0" fontId="21" fillId="6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/>
    </xf>
    <xf numFmtId="0" fontId="21" fillId="6" borderId="5" xfId="0" applyFont="1" applyFill="1" applyBorder="1" applyAlignment="1">
      <alignment wrapText="1"/>
    </xf>
    <xf numFmtId="0" fontId="21" fillId="0" borderId="5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wrapText="1"/>
    </xf>
    <xf numFmtId="0" fontId="18" fillId="11" borderId="14" xfId="0" applyFont="1" applyFill="1" applyBorder="1"/>
    <xf numFmtId="0" fontId="18" fillId="0" borderId="14" xfId="0" applyFont="1" applyBorder="1"/>
    <xf numFmtId="0" fontId="21" fillId="0" borderId="1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6" fillId="6" borderId="10" xfId="0" applyFont="1" applyFill="1" applyBorder="1" applyAlignment="1">
      <alignment horizontal="center"/>
    </xf>
    <xf numFmtId="0" fontId="26" fillId="10" borderId="5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/>
    </xf>
    <xf numFmtId="0" fontId="26" fillId="0" borderId="5" xfId="0" applyFont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wrapText="1"/>
    </xf>
    <xf numFmtId="0" fontId="26" fillId="0" borderId="8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wrapText="1"/>
    </xf>
    <xf numFmtId="0" fontId="26" fillId="0" borderId="8" xfId="0" applyFont="1" applyBorder="1" applyAlignment="1">
      <alignment horizontal="center" vertical="center"/>
    </xf>
    <xf numFmtId="0" fontId="26" fillId="6" borderId="8" xfId="0" applyFont="1" applyFill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6" borderId="5" xfId="0" applyFont="1" applyFill="1" applyBorder="1" applyAlignment="1" applyProtection="1">
      <alignment horizontal="center"/>
      <protection hidden="1"/>
    </xf>
    <xf numFmtId="0" fontId="26" fillId="10" borderId="5" xfId="0" applyFont="1" applyFill="1" applyBorder="1" applyAlignment="1" applyProtection="1">
      <alignment horizontal="center" vertical="center"/>
      <protection hidden="1"/>
    </xf>
    <xf numFmtId="0" fontId="24" fillId="6" borderId="5" xfId="0" applyFont="1" applyFill="1" applyBorder="1"/>
    <xf numFmtId="0" fontId="24" fillId="6" borderId="5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0" fontId="24" fillId="10" borderId="5" xfId="0" applyFont="1" applyFill="1" applyBorder="1" applyAlignment="1">
      <alignment vertical="center"/>
    </xf>
    <xf numFmtId="0" fontId="26" fillId="0" borderId="5" xfId="0" applyFont="1" applyBorder="1" applyAlignment="1">
      <alignment horizontal="center" wrapText="1"/>
    </xf>
    <xf numFmtId="0" fontId="24" fillId="6" borderId="6" xfId="0" applyFont="1" applyFill="1" applyBorder="1"/>
    <xf numFmtId="0" fontId="24" fillId="10" borderId="5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24" fillId="11" borderId="0" xfId="0" applyFont="1" applyFill="1"/>
    <xf numFmtId="0" fontId="25" fillId="0" borderId="0" xfId="0" applyFont="1" applyAlignment="1">
      <alignment horizontal="center" vertical="center" wrapText="1"/>
    </xf>
    <xf numFmtId="0" fontId="24" fillId="0" borderId="0" xfId="0" applyFont="1"/>
    <xf numFmtId="0" fontId="19" fillId="0" borderId="11" xfId="0" applyFont="1" applyBorder="1" applyAlignment="1">
      <alignment horizontal="left" vertical="center"/>
    </xf>
    <xf numFmtId="0" fontId="21" fillId="7" borderId="5" xfId="0" applyFont="1" applyFill="1" applyBorder="1" applyAlignment="1">
      <alignment horizontal="center" vertical="center"/>
    </xf>
    <xf numFmtId="165" fontId="21" fillId="8" borderId="5" xfId="0" applyNumberFormat="1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5" fillId="2" borderId="2" xfId="0" applyFont="1" applyFill="1" applyBorder="1" applyAlignment="1">
      <alignment horizontal="right"/>
    </xf>
    <xf numFmtId="0" fontId="7" fillId="0" borderId="3" xfId="0" applyFont="1" applyBorder="1"/>
    <xf numFmtId="0" fontId="11" fillId="2" borderId="0" xfId="0" applyFont="1" applyFill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7" fillId="0" borderId="4" xfId="0" applyFont="1" applyBorder="1"/>
    <xf numFmtId="0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2975040</xdr:colOff>
      <xdr:row>16</xdr:row>
      <xdr:rowOff>0</xdr:rowOff>
    </xdr:from>
    <xdr:to>
      <xdr:col>2</xdr:col>
      <xdr:colOff>706477</xdr:colOff>
      <xdr:row>70</xdr:row>
      <xdr:rowOff>10903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C0D36C7-095F-4656-A4C6-85E4019D825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3451290" y="4762500"/>
          <a:ext cx="703237" cy="343037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17</xdr:row>
      <xdr:rowOff>418320</xdr:rowOff>
    </xdr:from>
    <xdr:to>
      <xdr:col>3</xdr:col>
      <xdr:colOff>1554802</xdr:colOff>
      <xdr:row>25</xdr:row>
      <xdr:rowOff>174756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E69C83E-3DDA-4115-855F-438B8CBBDA7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237970"/>
          <a:ext cx="737602" cy="585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17</xdr:row>
      <xdr:rowOff>418320</xdr:rowOff>
    </xdr:from>
    <xdr:to>
      <xdr:col>3</xdr:col>
      <xdr:colOff>1554802</xdr:colOff>
      <xdr:row>25</xdr:row>
      <xdr:rowOff>174756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74EEAA2-8EC5-435A-9AC3-B04EAF76DFB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237970"/>
          <a:ext cx="737602" cy="58511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985529F-2FDC-4CEB-95FB-2769767B999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F6EA070-8552-4279-B154-C66789AD37E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CC98D0A-3ACB-4B4C-B60F-8E3CE803D20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26BE56D-0168-4D3D-80F3-BB79049547B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2880</xdr:rowOff>
    </xdr:from>
    <xdr:to>
      <xdr:col>3</xdr:col>
      <xdr:colOff>1554802</xdr:colOff>
      <xdr:row>24</xdr:row>
      <xdr:rowOff>135728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4EA296B-8450-4280-AC98-A3AD6C9937A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241630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BFA379E-AE2B-4F4E-9A26-629FD947CB2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90D955C-FF57-455A-8A91-1536EBAA1E8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58CCF729-0395-4C09-B331-85E853E64DD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18</xdr:row>
      <xdr:rowOff>418320</xdr:rowOff>
    </xdr:from>
    <xdr:to>
      <xdr:col>3</xdr:col>
      <xdr:colOff>1554802</xdr:colOff>
      <xdr:row>25</xdr:row>
      <xdr:rowOff>127130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F64447E-874B-41E1-88E8-31289458C7B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4760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19</xdr:row>
      <xdr:rowOff>418320</xdr:rowOff>
    </xdr:from>
    <xdr:to>
      <xdr:col>3</xdr:col>
      <xdr:colOff>1554802</xdr:colOff>
      <xdr:row>25</xdr:row>
      <xdr:rowOff>79145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2EE977A-D778-482E-865F-FD9239D46C1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714220"/>
          <a:ext cx="737602" cy="584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19</xdr:row>
      <xdr:rowOff>418320</xdr:rowOff>
    </xdr:from>
    <xdr:to>
      <xdr:col>3</xdr:col>
      <xdr:colOff>1554802</xdr:colOff>
      <xdr:row>25</xdr:row>
      <xdr:rowOff>79145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2DE8148-642A-4DEB-894B-3047027E865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714220"/>
          <a:ext cx="737602" cy="584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19</xdr:row>
      <xdr:rowOff>418320</xdr:rowOff>
    </xdr:from>
    <xdr:to>
      <xdr:col>3</xdr:col>
      <xdr:colOff>1554802</xdr:colOff>
      <xdr:row>25</xdr:row>
      <xdr:rowOff>79145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9C31F1D-32F0-402E-88DD-51B0980BEC8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714220"/>
          <a:ext cx="737602" cy="584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19</xdr:row>
      <xdr:rowOff>418320</xdr:rowOff>
    </xdr:from>
    <xdr:to>
      <xdr:col>3</xdr:col>
      <xdr:colOff>1554802</xdr:colOff>
      <xdr:row>25</xdr:row>
      <xdr:rowOff>79145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EDD9F109-4547-4260-8738-7894E09BA05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5714220"/>
          <a:ext cx="737602" cy="584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21</xdr:row>
      <xdr:rowOff>418320</xdr:rowOff>
    </xdr:from>
    <xdr:to>
      <xdr:col>3</xdr:col>
      <xdr:colOff>1554802</xdr:colOff>
      <xdr:row>26</xdr:row>
      <xdr:rowOff>117604</xdr:rowOff>
    </xdr:to>
    <xdr:pic>
      <xdr:nvPicPr>
        <xdr:cNvPr id="84" name="Picture 18">
          <a:extLst>
            <a:ext uri="{FF2B5EF4-FFF2-40B4-BE49-F238E27FC236}">
              <a16:creationId xmlns:a16="http://schemas.microsoft.com/office/drawing/2014/main" id="{1868397F-B93C-4C50-88F7-5973E26F5A0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190470"/>
          <a:ext cx="737602" cy="58510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565920</xdr:colOff>
      <xdr:row>29</xdr:row>
      <xdr:rowOff>283320</xdr:rowOff>
    </xdr:from>
    <xdr:to>
      <xdr:col>7</xdr:col>
      <xdr:colOff>149797</xdr:colOff>
      <xdr:row>39</xdr:row>
      <xdr:rowOff>102323</xdr:rowOff>
    </xdr:to>
    <xdr:pic>
      <xdr:nvPicPr>
        <xdr:cNvPr id="85" name="Picture 19">
          <a:extLst>
            <a:ext uri="{FF2B5EF4-FFF2-40B4-BE49-F238E27FC236}">
              <a16:creationId xmlns:a16="http://schemas.microsoft.com/office/drawing/2014/main" id="{C334E0E5-940E-4612-A96F-77FEAFDB209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9942800" flipH="1">
          <a:off x="7490595" y="8093820"/>
          <a:ext cx="803077" cy="42860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86" name="Picture 20">
          <a:extLst>
            <a:ext uri="{FF2B5EF4-FFF2-40B4-BE49-F238E27FC236}">
              <a16:creationId xmlns:a16="http://schemas.microsoft.com/office/drawing/2014/main" id="{246B9321-A584-457B-BFB8-714A236A33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87" name="Picture 21">
          <a:extLst>
            <a:ext uri="{FF2B5EF4-FFF2-40B4-BE49-F238E27FC236}">
              <a16:creationId xmlns:a16="http://schemas.microsoft.com/office/drawing/2014/main" id="{37D7DE9B-DF88-4507-AA2E-79E849CBA8E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88" name="Picture 22">
          <a:extLst>
            <a:ext uri="{FF2B5EF4-FFF2-40B4-BE49-F238E27FC236}">
              <a16:creationId xmlns:a16="http://schemas.microsoft.com/office/drawing/2014/main" id="{49637AA4-5216-4712-BDE9-F4F21DCC7D3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89" name="Picture 23">
          <a:extLst>
            <a:ext uri="{FF2B5EF4-FFF2-40B4-BE49-F238E27FC236}">
              <a16:creationId xmlns:a16="http://schemas.microsoft.com/office/drawing/2014/main" id="{2BB010AB-50EF-46FA-B738-D5DF1D4B37F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0" name="Picture 24">
          <a:extLst>
            <a:ext uri="{FF2B5EF4-FFF2-40B4-BE49-F238E27FC236}">
              <a16:creationId xmlns:a16="http://schemas.microsoft.com/office/drawing/2014/main" id="{055FB414-1669-4A8C-81AD-CE9CA1089FE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1" name="Picture 25">
          <a:extLst>
            <a:ext uri="{FF2B5EF4-FFF2-40B4-BE49-F238E27FC236}">
              <a16:creationId xmlns:a16="http://schemas.microsoft.com/office/drawing/2014/main" id="{6952CA78-72F2-4C85-B630-66F6065A28B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2" name="Picture 26">
          <a:extLst>
            <a:ext uri="{FF2B5EF4-FFF2-40B4-BE49-F238E27FC236}">
              <a16:creationId xmlns:a16="http://schemas.microsoft.com/office/drawing/2014/main" id="{431EB00B-7F47-4433-B0D1-A5C2CD5DD11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3" name="Picture 27">
          <a:extLst>
            <a:ext uri="{FF2B5EF4-FFF2-40B4-BE49-F238E27FC236}">
              <a16:creationId xmlns:a16="http://schemas.microsoft.com/office/drawing/2014/main" id="{BEB32311-20CB-4F14-9517-301E0DF90A1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4" name="Picture 28">
          <a:extLst>
            <a:ext uri="{FF2B5EF4-FFF2-40B4-BE49-F238E27FC236}">
              <a16:creationId xmlns:a16="http://schemas.microsoft.com/office/drawing/2014/main" id="{1B6BCEA9-F758-41C2-ACD3-8591D6311CA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5" name="Picture 29">
          <a:extLst>
            <a:ext uri="{FF2B5EF4-FFF2-40B4-BE49-F238E27FC236}">
              <a16:creationId xmlns:a16="http://schemas.microsoft.com/office/drawing/2014/main" id="{01202F68-EC71-437D-B345-38E47AFCB61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23</xdr:row>
      <xdr:rowOff>418320</xdr:rowOff>
    </xdr:from>
    <xdr:to>
      <xdr:col>3</xdr:col>
      <xdr:colOff>1554802</xdr:colOff>
      <xdr:row>28</xdr:row>
      <xdr:rowOff>117605</xdr:rowOff>
    </xdr:to>
    <xdr:pic>
      <xdr:nvPicPr>
        <xdr:cNvPr id="96" name="Picture 30">
          <a:extLst>
            <a:ext uri="{FF2B5EF4-FFF2-40B4-BE49-F238E27FC236}">
              <a16:creationId xmlns:a16="http://schemas.microsoft.com/office/drawing/2014/main" id="{89E72D23-9DCB-40D0-97D9-66A54F049E0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666672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382680</xdr:colOff>
      <xdr:row>12</xdr:row>
      <xdr:rowOff>536760</xdr:rowOff>
    </xdr:from>
    <xdr:to>
      <xdr:col>0</xdr:col>
      <xdr:colOff>1389600</xdr:colOff>
      <xdr:row>105</xdr:row>
      <xdr:rowOff>155155</xdr:rowOff>
    </xdr:to>
    <xdr:pic>
      <xdr:nvPicPr>
        <xdr:cNvPr id="97" name="Picture 31">
          <a:extLst>
            <a:ext uri="{FF2B5EF4-FFF2-40B4-BE49-F238E27FC236}">
              <a16:creationId xmlns:a16="http://schemas.microsoft.com/office/drawing/2014/main" id="{8476B29B-6D2F-4688-9CD1-19E8F452EC1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680" y="4051485"/>
          <a:ext cx="1006920" cy="555247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25</xdr:row>
      <xdr:rowOff>418320</xdr:rowOff>
    </xdr:from>
    <xdr:to>
      <xdr:col>3</xdr:col>
      <xdr:colOff>1554802</xdr:colOff>
      <xdr:row>29</xdr:row>
      <xdr:rowOff>127130</xdr:rowOff>
    </xdr:to>
    <xdr:pic>
      <xdr:nvPicPr>
        <xdr:cNvPr id="98" name="Picture 32">
          <a:extLst>
            <a:ext uri="{FF2B5EF4-FFF2-40B4-BE49-F238E27FC236}">
              <a16:creationId xmlns:a16="http://schemas.microsoft.com/office/drawing/2014/main" id="{B81CD1F5-9A4C-4EBA-AD68-D6BA8B824EE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71429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27</xdr:row>
      <xdr:rowOff>418320</xdr:rowOff>
    </xdr:from>
    <xdr:to>
      <xdr:col>3</xdr:col>
      <xdr:colOff>1554802</xdr:colOff>
      <xdr:row>35</xdr:row>
      <xdr:rowOff>145820</xdr:rowOff>
    </xdr:to>
    <xdr:pic>
      <xdr:nvPicPr>
        <xdr:cNvPr id="99" name="Picture 33">
          <a:extLst>
            <a:ext uri="{FF2B5EF4-FFF2-40B4-BE49-F238E27FC236}">
              <a16:creationId xmlns:a16="http://schemas.microsoft.com/office/drawing/2014/main" id="{622C4AA1-CC92-4C4C-A04C-30BDAB25B7D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7619220"/>
          <a:ext cx="737602" cy="5847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0" name="Picture 34">
          <a:extLst>
            <a:ext uri="{FF2B5EF4-FFF2-40B4-BE49-F238E27FC236}">
              <a16:creationId xmlns:a16="http://schemas.microsoft.com/office/drawing/2014/main" id="{D2A671B0-1864-4D33-B2AB-2B7061AD514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1" name="Picture 35">
          <a:extLst>
            <a:ext uri="{FF2B5EF4-FFF2-40B4-BE49-F238E27FC236}">
              <a16:creationId xmlns:a16="http://schemas.microsoft.com/office/drawing/2014/main" id="{5579A7D6-A3C3-4128-B66E-1842D05D025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2" name="Picture 36">
          <a:extLst>
            <a:ext uri="{FF2B5EF4-FFF2-40B4-BE49-F238E27FC236}">
              <a16:creationId xmlns:a16="http://schemas.microsoft.com/office/drawing/2014/main" id="{4C1D2605-BA7B-43EA-98AB-5D9B96CB763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3" name="Picture 37">
          <a:extLst>
            <a:ext uri="{FF2B5EF4-FFF2-40B4-BE49-F238E27FC236}">
              <a16:creationId xmlns:a16="http://schemas.microsoft.com/office/drawing/2014/main" id="{E57F36FD-55BE-43D0-BBDC-8A250151755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4" name="Picture 38">
          <a:extLst>
            <a:ext uri="{FF2B5EF4-FFF2-40B4-BE49-F238E27FC236}">
              <a16:creationId xmlns:a16="http://schemas.microsoft.com/office/drawing/2014/main" id="{FFDA079C-A100-43DA-ADF3-3035DC10EE3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5" name="Picture 39">
          <a:extLst>
            <a:ext uri="{FF2B5EF4-FFF2-40B4-BE49-F238E27FC236}">
              <a16:creationId xmlns:a16="http://schemas.microsoft.com/office/drawing/2014/main" id="{BB5CBF53-A50E-4519-B20A-90AA35B64F1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6" name="Picture 40">
          <a:extLst>
            <a:ext uri="{FF2B5EF4-FFF2-40B4-BE49-F238E27FC236}">
              <a16:creationId xmlns:a16="http://schemas.microsoft.com/office/drawing/2014/main" id="{BE7A1035-CF9C-4029-8EE1-55697128F4C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7" name="Picture 41">
          <a:extLst>
            <a:ext uri="{FF2B5EF4-FFF2-40B4-BE49-F238E27FC236}">
              <a16:creationId xmlns:a16="http://schemas.microsoft.com/office/drawing/2014/main" id="{A3672C11-6388-43F7-BDEF-112580D3D4D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38</xdr:row>
      <xdr:rowOff>418320</xdr:rowOff>
    </xdr:from>
    <xdr:to>
      <xdr:col>3</xdr:col>
      <xdr:colOff>1554802</xdr:colOff>
      <xdr:row>43</xdr:row>
      <xdr:rowOff>231905</xdr:rowOff>
    </xdr:to>
    <xdr:pic>
      <xdr:nvPicPr>
        <xdr:cNvPr id="108" name="Picture 42">
          <a:extLst>
            <a:ext uri="{FF2B5EF4-FFF2-40B4-BE49-F238E27FC236}">
              <a16:creationId xmlns:a16="http://schemas.microsoft.com/office/drawing/2014/main" id="{D6B2BC33-4085-46EA-B283-F83D9C8A40C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38595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2554941</xdr:colOff>
      <xdr:row>32</xdr:row>
      <xdr:rowOff>836706</xdr:rowOff>
    </xdr:from>
    <xdr:to>
      <xdr:col>3</xdr:col>
      <xdr:colOff>1083119</xdr:colOff>
      <xdr:row>33</xdr:row>
      <xdr:rowOff>210463</xdr:rowOff>
    </xdr:to>
    <xdr:pic>
      <xdr:nvPicPr>
        <xdr:cNvPr id="109" name="Picture 43">
          <a:extLst>
            <a:ext uri="{FF2B5EF4-FFF2-40B4-BE49-F238E27FC236}">
              <a16:creationId xmlns:a16="http://schemas.microsoft.com/office/drawing/2014/main" id="{9B71E298-34EF-48FD-BCD4-4181CF37C56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4869516" y="8809131"/>
          <a:ext cx="1080878" cy="14528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2190960</xdr:colOff>
      <xdr:row>33</xdr:row>
      <xdr:rowOff>278280</xdr:rowOff>
    </xdr:from>
    <xdr:to>
      <xdr:col>4</xdr:col>
      <xdr:colOff>684276</xdr:colOff>
      <xdr:row>44</xdr:row>
      <xdr:rowOff>154204</xdr:rowOff>
    </xdr:to>
    <xdr:pic>
      <xdr:nvPicPr>
        <xdr:cNvPr id="110" name="Picture 44">
          <a:extLst>
            <a:ext uri="{FF2B5EF4-FFF2-40B4-BE49-F238E27FC236}">
              <a16:creationId xmlns:a16="http://schemas.microsoft.com/office/drawing/2014/main" id="{DEFF4885-8514-4E27-8A4F-82321D26A97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6115260" y="9050805"/>
          <a:ext cx="684066" cy="561724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1" name="Picture 45">
          <a:extLst>
            <a:ext uri="{FF2B5EF4-FFF2-40B4-BE49-F238E27FC236}">
              <a16:creationId xmlns:a16="http://schemas.microsoft.com/office/drawing/2014/main" id="{CC7BF4B6-4161-4205-A1AE-A92A06ED801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2" name="Picture 46">
          <a:extLst>
            <a:ext uri="{FF2B5EF4-FFF2-40B4-BE49-F238E27FC236}">
              <a16:creationId xmlns:a16="http://schemas.microsoft.com/office/drawing/2014/main" id="{8AF5ADFD-A2F2-4F8C-8578-93594EEB0CE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3" name="Picture 47">
          <a:extLst>
            <a:ext uri="{FF2B5EF4-FFF2-40B4-BE49-F238E27FC236}">
              <a16:creationId xmlns:a16="http://schemas.microsoft.com/office/drawing/2014/main" id="{9D2691B0-179E-4949-BC8E-30D97CB6AE9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4" name="Picture 48">
          <a:extLst>
            <a:ext uri="{FF2B5EF4-FFF2-40B4-BE49-F238E27FC236}">
              <a16:creationId xmlns:a16="http://schemas.microsoft.com/office/drawing/2014/main" id="{A8F9FE97-E0D9-415D-B17D-5D4D60BBFF1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5" name="Picture 49">
          <a:extLst>
            <a:ext uri="{FF2B5EF4-FFF2-40B4-BE49-F238E27FC236}">
              <a16:creationId xmlns:a16="http://schemas.microsoft.com/office/drawing/2014/main" id="{AF88410B-6F31-41CF-BCA5-B8476B13CA6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6" name="Picture 50">
          <a:extLst>
            <a:ext uri="{FF2B5EF4-FFF2-40B4-BE49-F238E27FC236}">
              <a16:creationId xmlns:a16="http://schemas.microsoft.com/office/drawing/2014/main" id="{184B3FBA-8D24-44AD-9C40-4EDB6DCD4BD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7" name="Picture 51">
          <a:extLst>
            <a:ext uri="{FF2B5EF4-FFF2-40B4-BE49-F238E27FC236}">
              <a16:creationId xmlns:a16="http://schemas.microsoft.com/office/drawing/2014/main" id="{FAA111E6-9924-41FF-9B94-2A251854CA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8" name="Picture 52">
          <a:extLst>
            <a:ext uri="{FF2B5EF4-FFF2-40B4-BE49-F238E27FC236}">
              <a16:creationId xmlns:a16="http://schemas.microsoft.com/office/drawing/2014/main" id="{A3F5E03A-B5A3-4D87-8081-E530CD46529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19" name="Picture 53">
          <a:extLst>
            <a:ext uri="{FF2B5EF4-FFF2-40B4-BE49-F238E27FC236}">
              <a16:creationId xmlns:a16="http://schemas.microsoft.com/office/drawing/2014/main" id="{3945C8D8-6133-45CA-8DFE-4151142C174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39</xdr:row>
      <xdr:rowOff>2880</xdr:rowOff>
    </xdr:from>
    <xdr:to>
      <xdr:col>3</xdr:col>
      <xdr:colOff>1554802</xdr:colOff>
      <xdr:row>43</xdr:row>
      <xdr:rowOff>230978</xdr:rowOff>
    </xdr:to>
    <xdr:pic>
      <xdr:nvPicPr>
        <xdr:cNvPr id="120" name="Picture 54">
          <a:extLst>
            <a:ext uri="{FF2B5EF4-FFF2-40B4-BE49-F238E27FC236}">
              <a16:creationId xmlns:a16="http://schemas.microsoft.com/office/drawing/2014/main" id="{670369A4-848B-4873-A269-09B8F8CB904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242255"/>
          <a:ext cx="737602" cy="58052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588960</xdr:colOff>
      <xdr:row>34</xdr:row>
      <xdr:rowOff>306000</xdr:rowOff>
    </xdr:from>
    <xdr:to>
      <xdr:col>12</xdr:col>
      <xdr:colOff>568508</xdr:colOff>
      <xdr:row>84</xdr:row>
      <xdr:rowOff>88885</xdr:rowOff>
    </xdr:to>
    <xdr:pic>
      <xdr:nvPicPr>
        <xdr:cNvPr id="121" name="Picture 55">
          <a:extLst>
            <a:ext uri="{FF2B5EF4-FFF2-40B4-BE49-F238E27FC236}">
              <a16:creationId xmlns:a16="http://schemas.microsoft.com/office/drawing/2014/main" id="{402673E5-86AD-4E31-B00C-DD66902CF6A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5060" y="9288075"/>
          <a:ext cx="4246748" cy="33928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2" name="Picture 57">
          <a:extLst>
            <a:ext uri="{FF2B5EF4-FFF2-40B4-BE49-F238E27FC236}">
              <a16:creationId xmlns:a16="http://schemas.microsoft.com/office/drawing/2014/main" id="{27615268-5CA0-4C10-A083-66C51384496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3" name="Picture 58">
          <a:extLst>
            <a:ext uri="{FF2B5EF4-FFF2-40B4-BE49-F238E27FC236}">
              <a16:creationId xmlns:a16="http://schemas.microsoft.com/office/drawing/2014/main" id="{E833B567-E5FD-4447-9624-42115C65ABD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4" name="Picture 59">
          <a:extLst>
            <a:ext uri="{FF2B5EF4-FFF2-40B4-BE49-F238E27FC236}">
              <a16:creationId xmlns:a16="http://schemas.microsoft.com/office/drawing/2014/main" id="{7F249224-0ABC-4756-B2BC-F8782363CE0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5" name="Picture 60">
          <a:extLst>
            <a:ext uri="{FF2B5EF4-FFF2-40B4-BE49-F238E27FC236}">
              <a16:creationId xmlns:a16="http://schemas.microsoft.com/office/drawing/2014/main" id="{04300288-6FCB-4480-8472-CBDDEADE307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6" name="Picture 61">
          <a:extLst>
            <a:ext uri="{FF2B5EF4-FFF2-40B4-BE49-F238E27FC236}">
              <a16:creationId xmlns:a16="http://schemas.microsoft.com/office/drawing/2014/main" id="{0730DB09-9B5D-43E3-8596-578A60B5E04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7" name="Picture 62">
          <a:extLst>
            <a:ext uri="{FF2B5EF4-FFF2-40B4-BE49-F238E27FC236}">
              <a16:creationId xmlns:a16="http://schemas.microsoft.com/office/drawing/2014/main" id="{6CF5F423-4DA1-4560-AEEB-B4FA7072BAC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8" name="Picture 63">
          <a:extLst>
            <a:ext uri="{FF2B5EF4-FFF2-40B4-BE49-F238E27FC236}">
              <a16:creationId xmlns:a16="http://schemas.microsoft.com/office/drawing/2014/main" id="{0EC677D7-2237-4A76-850C-A01893C521D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29" name="Picture 64">
          <a:extLst>
            <a:ext uri="{FF2B5EF4-FFF2-40B4-BE49-F238E27FC236}">
              <a16:creationId xmlns:a16="http://schemas.microsoft.com/office/drawing/2014/main" id="{D4B4AD20-4A69-4737-B201-89AAC039603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30" name="Picture 65">
          <a:extLst>
            <a:ext uri="{FF2B5EF4-FFF2-40B4-BE49-F238E27FC236}">
              <a16:creationId xmlns:a16="http://schemas.microsoft.com/office/drawing/2014/main" id="{DC0CDAF8-4E28-4054-B7B6-32993C3EDF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31" name="Picture 66">
          <a:extLst>
            <a:ext uri="{FF2B5EF4-FFF2-40B4-BE49-F238E27FC236}">
              <a16:creationId xmlns:a16="http://schemas.microsoft.com/office/drawing/2014/main" id="{BC3E4799-2F95-4001-B29C-235823313D5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37</xdr:row>
      <xdr:rowOff>418320</xdr:rowOff>
    </xdr:from>
    <xdr:to>
      <xdr:col>3</xdr:col>
      <xdr:colOff>1554802</xdr:colOff>
      <xdr:row>42</xdr:row>
      <xdr:rowOff>231905</xdr:rowOff>
    </xdr:to>
    <xdr:pic>
      <xdr:nvPicPr>
        <xdr:cNvPr id="132" name="Picture 67">
          <a:extLst>
            <a:ext uri="{FF2B5EF4-FFF2-40B4-BE49-F238E27FC236}">
              <a16:creationId xmlns:a16="http://schemas.microsoft.com/office/drawing/2014/main" id="{0963E8DC-9B83-41CC-B574-3C17551BA7F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10000470"/>
          <a:ext cx="737602" cy="5851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817200</xdr:colOff>
      <xdr:row>26</xdr:row>
      <xdr:rowOff>418320</xdr:rowOff>
    </xdr:from>
    <xdr:to>
      <xdr:col>3</xdr:col>
      <xdr:colOff>1554802</xdr:colOff>
      <xdr:row>32</xdr:row>
      <xdr:rowOff>136656</xdr:rowOff>
    </xdr:to>
    <xdr:pic>
      <xdr:nvPicPr>
        <xdr:cNvPr id="133" name="Picture 17">
          <a:extLst>
            <a:ext uri="{FF2B5EF4-FFF2-40B4-BE49-F238E27FC236}">
              <a16:creationId xmlns:a16="http://schemas.microsoft.com/office/drawing/2014/main" id="{B9C7B127-ADDE-4D3E-BAAB-02574A34903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684475" y="7381095"/>
          <a:ext cx="737602" cy="585111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L6" headerRowCount="0">
  <tableColumns count="2">
    <tableColumn id="1" xr3:uid="{00000000-0010-0000-0000-000001000000}" name="Column1"/>
    <tableColumn id="2" xr3:uid="{00000000-0010-0000-0000-000002000000}" name="Column2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59ED3-4F9C-419B-8E0F-D26923AF101A}" name="Table2" displayName="Table2" ref="B3:H17" totalsRowShown="0" headerRowDxfId="10" headerRowBorderDxfId="9" tableBorderDxfId="8" totalsRowBorderDxfId="7">
  <tableColumns count="7">
    <tableColumn id="1" xr3:uid="{AF87A6CE-53BF-45D0-81EA-6DAF058F03BD}" name="S.no" dataDxfId="6"/>
    <tableColumn id="2" xr3:uid="{7D5B501E-578C-4AC8-8C39-65348E7BB175}" name="Particulars" dataDxfId="5"/>
    <tableColumn id="3" xr3:uid="{810D7CEC-253A-44D0-88EC-904027F4A2DF}" name="Total Order Qty" dataDxfId="4"/>
    <tableColumn id="4" xr3:uid="{C5A89DF3-BF9E-46F3-A08E-1B7BDD384083}" name="Size" dataDxfId="3"/>
    <tableColumn id="5" xr3:uid="{44839775-C3C4-45E3-929C-670657DCA73D}" name="Size2" dataDxfId="2"/>
    <tableColumn id="6" xr3:uid="{7E4FC6EA-F93B-45AB-B297-6172F873E44E}" name="Size3" dataDxfId="1"/>
    <tableColumn id="7" xr3:uid="{1D6CEBD8-8E11-4DBF-A121-A0590A4FF127}" name="Size4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08"/>
  <sheetViews>
    <sheetView tabSelected="1" workbookViewId="0">
      <selection activeCell="K20" sqref="K20"/>
    </sheetView>
  </sheetViews>
  <sheetFormatPr defaultColWidth="12.5703125" defaultRowHeight="15.75" customHeight="1"/>
  <cols>
    <col min="1" max="1" width="6" customWidth="1"/>
    <col min="2" max="2" width="11.5703125" customWidth="1"/>
    <col min="3" max="3" width="28.85546875" customWidth="1"/>
    <col min="4" max="4" width="25.42578125" customWidth="1"/>
    <col min="5" max="5" width="19.42578125" customWidth="1"/>
    <col min="6" max="6" width="10.42578125" customWidth="1"/>
    <col min="7" max="7" width="8.5703125" customWidth="1"/>
    <col min="8" max="8" width="10.85546875" customWidth="1"/>
    <col min="9" max="9" width="8.85546875" customWidth="1"/>
    <col min="11" max="11" width="13" customWidth="1"/>
    <col min="12" max="12" width="18.28515625" customWidth="1"/>
    <col min="13" max="13" width="19" customWidth="1"/>
    <col min="14" max="16" width="14.28515625" customWidth="1"/>
    <col min="17" max="17" width="29.5703125" customWidth="1"/>
    <col min="18" max="18" width="35.42578125" customWidth="1"/>
    <col min="19" max="19" width="17.85546875" customWidth="1"/>
  </cols>
  <sheetData>
    <row r="1" spans="1:19" ht="15.7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>
      <c r="A2" s="91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</row>
    <row r="3" spans="1:19" ht="15.75" customHeight="1">
      <c r="A3" s="3" t="s">
        <v>11</v>
      </c>
      <c r="B3" s="4" t="s">
        <v>12</v>
      </c>
      <c r="C3" s="4" t="s">
        <v>13</v>
      </c>
      <c r="D3" s="4" t="s">
        <v>2</v>
      </c>
      <c r="E3" s="4" t="s">
        <v>14</v>
      </c>
      <c r="F3" s="4" t="s">
        <v>206</v>
      </c>
      <c r="G3" s="97" t="s">
        <v>205</v>
      </c>
      <c r="H3" s="97" t="s">
        <v>207</v>
      </c>
      <c r="I3" s="4" t="s">
        <v>204</v>
      </c>
      <c r="J3" s="4" t="s">
        <v>16</v>
      </c>
      <c r="K3" s="1"/>
      <c r="L3" s="1"/>
      <c r="M3" s="1"/>
      <c r="N3" s="1"/>
      <c r="O3" s="1"/>
      <c r="P3" s="1"/>
      <c r="Q3" s="1"/>
      <c r="R3" s="1"/>
      <c r="S3" s="1"/>
    </row>
    <row r="4" spans="1:19" ht="15.75" customHeight="1">
      <c r="A4" s="5">
        <v>1</v>
      </c>
      <c r="B4" s="5" t="s">
        <v>17</v>
      </c>
      <c r="C4" s="6" t="s">
        <v>18</v>
      </c>
      <c r="D4" s="6" t="s">
        <v>19</v>
      </c>
      <c r="E4" s="6" t="s">
        <v>20</v>
      </c>
      <c r="F4" s="5">
        <v>35</v>
      </c>
      <c r="G4" s="5">
        <v>35</v>
      </c>
      <c r="H4" s="5">
        <v>30</v>
      </c>
      <c r="I4" s="5">
        <v>100</v>
      </c>
      <c r="J4" s="4"/>
      <c r="K4" s="1" t="s">
        <v>21</v>
      </c>
      <c r="L4" s="1" t="s">
        <v>22</v>
      </c>
      <c r="M4" s="1" t="s">
        <v>23</v>
      </c>
      <c r="N4" s="1" t="s">
        <v>24</v>
      </c>
      <c r="O4" s="1" t="s">
        <v>24</v>
      </c>
      <c r="P4" s="1" t="s">
        <v>25</v>
      </c>
      <c r="Q4" s="1" t="s">
        <v>26</v>
      </c>
      <c r="R4" s="1" t="s">
        <v>27</v>
      </c>
      <c r="S4" s="1"/>
    </row>
    <row r="5" spans="1:19" ht="15.75" customHeight="1">
      <c r="A5" s="5">
        <v>2</v>
      </c>
      <c r="B5" s="5" t="s">
        <v>17</v>
      </c>
      <c r="C5" s="6" t="s">
        <v>18</v>
      </c>
      <c r="D5" s="6" t="s">
        <v>19</v>
      </c>
      <c r="E5" s="6" t="s">
        <v>28</v>
      </c>
      <c r="F5" s="5">
        <v>35</v>
      </c>
      <c r="G5" s="5">
        <v>35</v>
      </c>
      <c r="H5" s="5">
        <v>30</v>
      </c>
      <c r="I5" s="5">
        <v>100</v>
      </c>
      <c r="J5" s="4"/>
      <c r="K5" s="1" t="s">
        <v>21</v>
      </c>
      <c r="L5" s="1" t="s">
        <v>22</v>
      </c>
      <c r="M5" s="1"/>
      <c r="N5" s="1"/>
      <c r="O5" s="1"/>
      <c r="P5" s="1"/>
      <c r="Q5" s="1"/>
      <c r="R5" s="1"/>
      <c r="S5" s="1"/>
    </row>
    <row r="6" spans="1:19" ht="15.75" customHeight="1">
      <c r="A6" s="5">
        <v>3</v>
      </c>
      <c r="B6" s="5" t="s">
        <v>17</v>
      </c>
      <c r="C6" s="6" t="s">
        <v>18</v>
      </c>
      <c r="D6" s="6" t="s">
        <v>19</v>
      </c>
      <c r="E6" s="6" t="s">
        <v>29</v>
      </c>
      <c r="F6" s="5">
        <v>35</v>
      </c>
      <c r="G6" s="5">
        <v>35</v>
      </c>
      <c r="H6" s="5">
        <v>30</v>
      </c>
      <c r="I6" s="5">
        <v>100</v>
      </c>
      <c r="J6" s="4"/>
      <c r="K6" s="1" t="s">
        <v>21</v>
      </c>
      <c r="L6" s="1" t="s">
        <v>22</v>
      </c>
      <c r="M6" s="1"/>
      <c r="N6" s="1"/>
      <c r="O6" s="1"/>
      <c r="P6" s="1"/>
      <c r="Q6" s="1"/>
      <c r="R6" s="1"/>
      <c r="S6" s="1"/>
    </row>
    <row r="7" spans="1:19" ht="15.75" customHeight="1">
      <c r="A7" s="5">
        <v>4</v>
      </c>
      <c r="B7" s="5" t="s">
        <v>17</v>
      </c>
      <c r="C7" s="6" t="s">
        <v>30</v>
      </c>
      <c r="D7" s="6" t="s">
        <v>19</v>
      </c>
      <c r="E7" s="6" t="s">
        <v>20</v>
      </c>
      <c r="F7" s="5">
        <v>35</v>
      </c>
      <c r="G7" s="5">
        <v>35</v>
      </c>
      <c r="H7" s="5">
        <v>30</v>
      </c>
      <c r="I7" s="5">
        <v>100</v>
      </c>
      <c r="J7" s="4"/>
      <c r="K7" s="1" t="s">
        <v>21</v>
      </c>
      <c r="L7" s="1" t="s">
        <v>22</v>
      </c>
      <c r="M7" s="1"/>
      <c r="N7" s="1"/>
      <c r="O7" s="1"/>
      <c r="P7" s="1"/>
      <c r="Q7" s="1"/>
      <c r="R7" s="1"/>
      <c r="S7" s="1"/>
    </row>
    <row r="8" spans="1:19" ht="15.75" customHeight="1">
      <c r="A8" s="5">
        <v>5</v>
      </c>
      <c r="B8" s="5" t="s">
        <v>17</v>
      </c>
      <c r="C8" s="6" t="s">
        <v>30</v>
      </c>
      <c r="D8" s="6" t="s">
        <v>19</v>
      </c>
      <c r="E8" s="6" t="s">
        <v>31</v>
      </c>
      <c r="F8" s="5">
        <v>35</v>
      </c>
      <c r="G8" s="5">
        <v>35</v>
      </c>
      <c r="H8" s="5">
        <v>30</v>
      </c>
      <c r="I8" s="5">
        <v>100</v>
      </c>
      <c r="J8" s="4"/>
      <c r="K8" s="1" t="s">
        <v>21</v>
      </c>
      <c r="L8" s="1" t="s">
        <v>22</v>
      </c>
      <c r="M8" s="1"/>
      <c r="N8" s="1"/>
      <c r="O8" s="1"/>
      <c r="P8" s="1"/>
      <c r="Q8" s="1"/>
      <c r="R8" s="1"/>
      <c r="S8" s="1"/>
    </row>
    <row r="9" spans="1:19" ht="15.75" customHeight="1">
      <c r="A9" s="5">
        <v>6</v>
      </c>
      <c r="B9" s="5" t="s">
        <v>17</v>
      </c>
      <c r="C9" s="6" t="s">
        <v>32</v>
      </c>
      <c r="D9" s="6" t="s">
        <v>19</v>
      </c>
      <c r="E9" s="6" t="s">
        <v>33</v>
      </c>
      <c r="F9" s="5">
        <v>35</v>
      </c>
      <c r="G9" s="5">
        <v>35</v>
      </c>
      <c r="H9" s="5">
        <v>30</v>
      </c>
      <c r="I9" s="5">
        <v>100</v>
      </c>
      <c r="J9" s="4"/>
      <c r="K9" s="1" t="s">
        <v>21</v>
      </c>
      <c r="L9" s="1" t="s">
        <v>22</v>
      </c>
      <c r="M9" s="1"/>
      <c r="N9" s="1"/>
      <c r="O9" s="1"/>
      <c r="P9" s="1"/>
      <c r="Q9" s="1"/>
      <c r="R9" s="1"/>
      <c r="S9" s="1"/>
    </row>
    <row r="10" spans="1:19" ht="15.75" customHeight="1">
      <c r="A10" s="5">
        <v>7</v>
      </c>
      <c r="B10" s="5" t="s">
        <v>17</v>
      </c>
      <c r="C10" s="6" t="s">
        <v>32</v>
      </c>
      <c r="D10" s="6" t="s">
        <v>19</v>
      </c>
      <c r="E10" s="6" t="s">
        <v>34</v>
      </c>
      <c r="F10" s="5">
        <v>35</v>
      </c>
      <c r="G10" s="5">
        <v>35</v>
      </c>
      <c r="H10" s="5">
        <v>30</v>
      </c>
      <c r="I10" s="5">
        <v>100</v>
      </c>
      <c r="J10" s="4"/>
      <c r="K10" s="1" t="s">
        <v>21</v>
      </c>
      <c r="L10" s="1" t="s">
        <v>22</v>
      </c>
      <c r="M10" s="1"/>
      <c r="N10" s="1"/>
      <c r="O10" s="1"/>
      <c r="P10" s="1"/>
      <c r="Q10" s="1"/>
      <c r="R10" s="1"/>
      <c r="S10" s="1"/>
    </row>
    <row r="11" spans="1:19" ht="15.75" customHeight="1">
      <c r="A11" s="5">
        <v>8</v>
      </c>
      <c r="B11" s="5" t="s">
        <v>17</v>
      </c>
      <c r="C11" s="6" t="s">
        <v>35</v>
      </c>
      <c r="D11" s="6" t="s">
        <v>19</v>
      </c>
      <c r="E11" s="6" t="s">
        <v>36</v>
      </c>
      <c r="F11" s="5">
        <v>35</v>
      </c>
      <c r="G11" s="5">
        <v>35</v>
      </c>
      <c r="H11" s="5">
        <v>30</v>
      </c>
      <c r="I11" s="5">
        <v>100</v>
      </c>
      <c r="J11" s="4"/>
      <c r="K11" s="1" t="s">
        <v>21</v>
      </c>
      <c r="L11" s="1" t="s">
        <v>22</v>
      </c>
      <c r="M11" s="1"/>
      <c r="N11" s="1"/>
      <c r="O11" s="1"/>
      <c r="P11" s="1"/>
      <c r="Q11" s="1"/>
      <c r="R11" s="1"/>
      <c r="S11" s="1"/>
    </row>
    <row r="12" spans="1:19" ht="15.75" customHeight="1">
      <c r="A12" s="5">
        <v>9</v>
      </c>
      <c r="B12" s="5" t="s">
        <v>17</v>
      </c>
      <c r="C12" s="6" t="s">
        <v>37</v>
      </c>
      <c r="D12" s="6" t="s">
        <v>19</v>
      </c>
      <c r="E12" s="6" t="s">
        <v>38</v>
      </c>
      <c r="F12" s="5">
        <v>35</v>
      </c>
      <c r="G12" s="5">
        <v>35</v>
      </c>
      <c r="H12" s="5">
        <v>30</v>
      </c>
      <c r="I12" s="5">
        <v>100</v>
      </c>
      <c r="J12" s="4"/>
      <c r="K12" s="1" t="s">
        <v>21</v>
      </c>
      <c r="L12" s="1" t="s">
        <v>22</v>
      </c>
      <c r="M12" s="1"/>
      <c r="N12" s="1"/>
      <c r="O12" s="1"/>
      <c r="P12" s="1"/>
      <c r="Q12" s="1"/>
      <c r="R12" s="1"/>
      <c r="S12" s="1"/>
    </row>
    <row r="13" spans="1:19" ht="15.75" customHeight="1">
      <c r="A13" s="5">
        <v>10</v>
      </c>
      <c r="B13" s="5" t="s">
        <v>17</v>
      </c>
      <c r="C13" s="6" t="s">
        <v>39</v>
      </c>
      <c r="D13" s="6" t="s">
        <v>19</v>
      </c>
      <c r="E13" s="6" t="s">
        <v>40</v>
      </c>
      <c r="F13" s="5">
        <v>35</v>
      </c>
      <c r="G13" s="5">
        <v>35</v>
      </c>
      <c r="H13" s="5">
        <v>30</v>
      </c>
      <c r="I13" s="5">
        <v>100</v>
      </c>
      <c r="J13" s="4"/>
      <c r="K13" s="1" t="s">
        <v>21</v>
      </c>
      <c r="L13" s="1" t="s">
        <v>22</v>
      </c>
      <c r="M13" s="1"/>
      <c r="N13" s="1">
        <f>735+516</f>
        <v>1251</v>
      </c>
      <c r="O13" s="1"/>
      <c r="P13" s="1"/>
      <c r="Q13" s="1"/>
      <c r="R13" s="1"/>
      <c r="S13" s="1"/>
    </row>
    <row r="14" spans="1:19" ht="15.75" customHeight="1">
      <c r="A14" s="5">
        <v>11</v>
      </c>
      <c r="B14" s="5" t="s">
        <v>17</v>
      </c>
      <c r="C14" s="6" t="s">
        <v>39</v>
      </c>
      <c r="D14" s="6" t="s">
        <v>19</v>
      </c>
      <c r="E14" s="6" t="s">
        <v>41</v>
      </c>
      <c r="F14" s="5">
        <v>35</v>
      </c>
      <c r="G14" s="5">
        <v>35</v>
      </c>
      <c r="H14" s="5">
        <v>30</v>
      </c>
      <c r="I14" s="5">
        <v>100</v>
      </c>
      <c r="J14" s="4"/>
      <c r="K14" s="1" t="s">
        <v>21</v>
      </c>
      <c r="L14" s="1" t="s">
        <v>22</v>
      </c>
      <c r="M14" s="1"/>
      <c r="N14" s="1"/>
      <c r="O14" s="1"/>
      <c r="P14" s="1">
        <f>1400+700</f>
        <v>2100</v>
      </c>
      <c r="Q14" s="1"/>
      <c r="R14" s="1"/>
      <c r="S14" s="1"/>
    </row>
    <row r="15" spans="1:19" ht="15.75" customHeight="1">
      <c r="A15" s="5">
        <v>12</v>
      </c>
      <c r="B15" s="5" t="s">
        <v>17</v>
      </c>
      <c r="C15" s="6" t="s">
        <v>42</v>
      </c>
      <c r="D15" s="6" t="s">
        <v>19</v>
      </c>
      <c r="E15" s="6" t="s">
        <v>43</v>
      </c>
      <c r="F15" s="5">
        <v>35</v>
      </c>
      <c r="G15" s="5">
        <v>35</v>
      </c>
      <c r="H15" s="5">
        <v>30</v>
      </c>
      <c r="I15" s="5">
        <v>100</v>
      </c>
      <c r="J15" s="4"/>
      <c r="K15" s="1" t="s">
        <v>21</v>
      </c>
      <c r="L15" s="1" t="s">
        <v>22</v>
      </c>
      <c r="M15" s="1"/>
      <c r="N15" s="1"/>
      <c r="O15" s="1"/>
      <c r="P15" s="1"/>
      <c r="Q15" s="1"/>
      <c r="R15" s="1"/>
      <c r="S15" s="1"/>
    </row>
    <row r="16" spans="1:19" ht="15.75" customHeight="1">
      <c r="A16" s="5">
        <v>13</v>
      </c>
      <c r="B16" s="5" t="s">
        <v>17</v>
      </c>
      <c r="C16" s="6" t="s">
        <v>42</v>
      </c>
      <c r="D16" s="6" t="s">
        <v>19</v>
      </c>
      <c r="E16" s="6" t="s">
        <v>41</v>
      </c>
      <c r="F16" s="5">
        <v>35</v>
      </c>
      <c r="G16" s="5">
        <v>35</v>
      </c>
      <c r="H16" s="5">
        <v>30</v>
      </c>
      <c r="I16" s="5">
        <v>100</v>
      </c>
      <c r="J16" s="4"/>
      <c r="K16" s="1" t="s">
        <v>21</v>
      </c>
      <c r="L16" s="1" t="s">
        <v>22</v>
      </c>
      <c r="M16" s="1"/>
      <c r="N16" s="1"/>
      <c r="O16" s="1"/>
      <c r="P16" s="1"/>
      <c r="Q16" s="1"/>
      <c r="R16" s="1"/>
      <c r="S16" s="1"/>
    </row>
    <row r="17" spans="1:19" ht="15.75" customHeight="1">
      <c r="A17" s="5">
        <v>14</v>
      </c>
      <c r="B17" s="5" t="s">
        <v>17</v>
      </c>
      <c r="C17" s="6" t="s">
        <v>44</v>
      </c>
      <c r="D17" s="6" t="s">
        <v>19</v>
      </c>
      <c r="E17" s="6" t="s">
        <v>45</v>
      </c>
      <c r="F17" s="5">
        <v>35</v>
      </c>
      <c r="G17" s="5">
        <v>35</v>
      </c>
      <c r="H17" s="5">
        <v>30</v>
      </c>
      <c r="I17" s="5">
        <v>100</v>
      </c>
      <c r="J17" s="4"/>
      <c r="K17" s="1" t="s">
        <v>21</v>
      </c>
      <c r="L17" s="1" t="s">
        <v>22</v>
      </c>
      <c r="M17" s="1"/>
      <c r="N17" s="1"/>
      <c r="O17" s="1"/>
      <c r="P17" s="1"/>
      <c r="Q17" s="1"/>
      <c r="R17" s="1"/>
      <c r="S17" s="1"/>
    </row>
    <row r="18" spans="1:19" ht="15.75" customHeight="1">
      <c r="A18" s="92" t="s">
        <v>46</v>
      </c>
      <c r="B18" s="93"/>
      <c r="C18" s="93"/>
      <c r="D18" s="93"/>
      <c r="E18" s="93"/>
      <c r="F18" s="93"/>
      <c r="G18" s="93"/>
      <c r="H18" s="93"/>
      <c r="I18" s="7">
        <v>1400</v>
      </c>
      <c r="J18" s="4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>
      <c r="A20" s="91" t="s">
        <v>47</v>
      </c>
      <c r="B20" s="90"/>
      <c r="C20" s="90"/>
      <c r="D20" s="90"/>
      <c r="E20" s="90"/>
      <c r="F20" s="90"/>
      <c r="G20" s="90"/>
      <c r="H20" s="90"/>
      <c r="I20" s="90"/>
      <c r="J20" s="90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3" t="s">
        <v>11</v>
      </c>
      <c r="B21" s="4" t="s">
        <v>12</v>
      </c>
      <c r="C21" s="4" t="s">
        <v>13</v>
      </c>
      <c r="D21" s="4" t="s">
        <v>2</v>
      </c>
      <c r="E21" s="4" t="s">
        <v>48</v>
      </c>
      <c r="F21" s="4" t="s">
        <v>206</v>
      </c>
      <c r="G21" s="97" t="s">
        <v>205</v>
      </c>
      <c r="H21" s="97" t="s">
        <v>207</v>
      </c>
      <c r="I21" s="4" t="s">
        <v>15</v>
      </c>
      <c r="J21" s="4"/>
      <c r="K21" s="1"/>
      <c r="L21" s="1"/>
      <c r="M21" s="1" t="s">
        <v>23</v>
      </c>
      <c r="N21" s="1" t="s">
        <v>24</v>
      </c>
      <c r="O21" s="1" t="s">
        <v>24</v>
      </c>
      <c r="P21" s="1" t="s">
        <v>25</v>
      </c>
      <c r="Q21" s="1" t="s">
        <v>26</v>
      </c>
      <c r="R21" s="1" t="s">
        <v>27</v>
      </c>
      <c r="S21" s="1"/>
    </row>
    <row r="22" spans="1:19" ht="15.75" customHeight="1">
      <c r="A22" s="5">
        <v>1</v>
      </c>
      <c r="B22" s="5" t="s">
        <v>17</v>
      </c>
      <c r="C22" s="6" t="s">
        <v>49</v>
      </c>
      <c r="D22" s="6" t="s">
        <v>19</v>
      </c>
      <c r="E22" s="6" t="s">
        <v>50</v>
      </c>
      <c r="F22" s="5">
        <v>35</v>
      </c>
      <c r="G22" s="5">
        <v>35</v>
      </c>
      <c r="H22" s="5">
        <v>30</v>
      </c>
      <c r="I22" s="5">
        <v>100</v>
      </c>
      <c r="J22" s="4"/>
      <c r="K22" s="1" t="s">
        <v>21</v>
      </c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5">
        <v>2</v>
      </c>
      <c r="B23" s="5" t="s">
        <v>17</v>
      </c>
      <c r="C23" s="6" t="s">
        <v>49</v>
      </c>
      <c r="D23" s="6" t="s">
        <v>19</v>
      </c>
      <c r="E23" s="6" t="s">
        <v>51</v>
      </c>
      <c r="F23" s="5">
        <v>35</v>
      </c>
      <c r="G23" s="5">
        <v>35</v>
      </c>
      <c r="H23" s="5">
        <v>30</v>
      </c>
      <c r="I23" s="5">
        <v>100</v>
      </c>
      <c r="J23" s="4"/>
      <c r="K23" s="1" t="s">
        <v>21</v>
      </c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5">
        <v>3</v>
      </c>
      <c r="B24" s="5" t="s">
        <v>17</v>
      </c>
      <c r="C24" s="6" t="s">
        <v>49</v>
      </c>
      <c r="D24" s="6" t="s">
        <v>19</v>
      </c>
      <c r="E24" s="6" t="s">
        <v>52</v>
      </c>
      <c r="F24" s="5">
        <v>35</v>
      </c>
      <c r="G24" s="5">
        <v>35</v>
      </c>
      <c r="H24" s="5">
        <v>30</v>
      </c>
      <c r="I24" s="5">
        <v>100</v>
      </c>
      <c r="J24" s="4"/>
      <c r="K24" s="1" t="s">
        <v>21</v>
      </c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5">
        <v>4</v>
      </c>
      <c r="B25" s="5" t="s">
        <v>17</v>
      </c>
      <c r="C25" s="6" t="s">
        <v>49</v>
      </c>
      <c r="D25" s="6" t="s">
        <v>19</v>
      </c>
      <c r="E25" s="6" t="s">
        <v>53</v>
      </c>
      <c r="F25" s="5">
        <v>35</v>
      </c>
      <c r="G25" s="5">
        <v>35</v>
      </c>
      <c r="H25" s="5">
        <v>30</v>
      </c>
      <c r="I25" s="5">
        <v>100</v>
      </c>
      <c r="J25" s="4"/>
      <c r="K25" s="1" t="s">
        <v>21</v>
      </c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5">
        <v>5</v>
      </c>
      <c r="B26" s="5" t="s">
        <v>17</v>
      </c>
      <c r="C26" s="6" t="s">
        <v>49</v>
      </c>
      <c r="D26" s="6" t="s">
        <v>19</v>
      </c>
      <c r="E26" s="6" t="s">
        <v>54</v>
      </c>
      <c r="F26" s="5">
        <v>35</v>
      </c>
      <c r="G26" s="5">
        <v>35</v>
      </c>
      <c r="H26" s="5">
        <v>30</v>
      </c>
      <c r="I26" s="5">
        <v>100</v>
      </c>
      <c r="J26" s="4"/>
      <c r="K26" s="1" t="s">
        <v>21</v>
      </c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5">
        <v>6</v>
      </c>
      <c r="B27" s="5" t="s">
        <v>17</v>
      </c>
      <c r="C27" s="6" t="s">
        <v>49</v>
      </c>
      <c r="D27" s="6" t="s">
        <v>19</v>
      </c>
      <c r="E27" s="6" t="s">
        <v>55</v>
      </c>
      <c r="F27" s="5">
        <v>35</v>
      </c>
      <c r="G27" s="5">
        <v>35</v>
      </c>
      <c r="H27" s="5">
        <v>30</v>
      </c>
      <c r="I27" s="5">
        <v>100</v>
      </c>
      <c r="J27" s="4"/>
      <c r="K27" s="1" t="s">
        <v>21</v>
      </c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5">
        <v>7</v>
      </c>
      <c r="B28" s="5" t="s">
        <v>17</v>
      </c>
      <c r="C28" s="6" t="s">
        <v>49</v>
      </c>
      <c r="D28" s="6" t="s">
        <v>19</v>
      </c>
      <c r="E28" s="6" t="s">
        <v>56</v>
      </c>
      <c r="F28" s="5">
        <v>35</v>
      </c>
      <c r="G28" s="5">
        <v>35</v>
      </c>
      <c r="H28" s="5">
        <v>30</v>
      </c>
      <c r="I28" s="5">
        <v>100</v>
      </c>
      <c r="J28" s="4"/>
      <c r="K28" s="1" t="s">
        <v>21</v>
      </c>
      <c r="L28" s="1"/>
      <c r="M28" s="1">
        <f>490+245</f>
        <v>735</v>
      </c>
      <c r="N28" s="1"/>
      <c r="O28" s="1"/>
      <c r="P28" s="1"/>
      <c r="Q28" s="1"/>
      <c r="R28" s="1"/>
      <c r="S28" s="1"/>
    </row>
    <row r="29" spans="1:19" ht="15.75" customHeight="1">
      <c r="A29" s="92" t="s">
        <v>46</v>
      </c>
      <c r="B29" s="93"/>
      <c r="C29" s="93"/>
      <c r="D29" s="93"/>
      <c r="E29" s="93"/>
      <c r="F29" s="93"/>
      <c r="G29" s="93"/>
      <c r="H29" s="93"/>
      <c r="I29" s="7">
        <v>700</v>
      </c>
      <c r="J29" s="4"/>
      <c r="K29" s="1"/>
      <c r="L29" s="1"/>
      <c r="M29" s="1"/>
      <c r="N29" s="1">
        <f>35+35+30</f>
        <v>100</v>
      </c>
      <c r="O29" s="1"/>
      <c r="P29" s="1"/>
      <c r="Q29" s="1"/>
      <c r="R29" s="1"/>
      <c r="S29" s="1"/>
    </row>
    <row r="30" spans="1:19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91" t="s">
        <v>57</v>
      </c>
      <c r="B31" s="90"/>
      <c r="C31" s="90"/>
      <c r="D31" s="90"/>
      <c r="E31" s="90"/>
      <c r="F31" s="90"/>
      <c r="G31" s="90"/>
      <c r="H31" s="90"/>
      <c r="I31" s="90"/>
      <c r="J31" s="90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3" t="s">
        <v>11</v>
      </c>
      <c r="B32" s="4" t="s">
        <v>12</v>
      </c>
      <c r="C32" s="4" t="s">
        <v>13</v>
      </c>
      <c r="D32" s="4" t="s">
        <v>2</v>
      </c>
      <c r="E32" s="4" t="s">
        <v>14</v>
      </c>
      <c r="F32" s="4" t="s">
        <v>58</v>
      </c>
      <c r="G32" s="4" t="s">
        <v>59</v>
      </c>
      <c r="H32" s="4" t="s">
        <v>60</v>
      </c>
      <c r="I32" s="4" t="s">
        <v>15</v>
      </c>
      <c r="J32" s="4" t="s">
        <v>16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5">
        <v>1</v>
      </c>
      <c r="B33" s="5" t="s">
        <v>61</v>
      </c>
      <c r="C33" s="6" t="s">
        <v>32</v>
      </c>
      <c r="D33" s="6" t="s">
        <v>62</v>
      </c>
      <c r="E33" s="6" t="s">
        <v>63</v>
      </c>
      <c r="F33" s="5">
        <v>35</v>
      </c>
      <c r="G33" s="5">
        <v>35</v>
      </c>
      <c r="H33" s="5">
        <v>30</v>
      </c>
      <c r="I33" s="5">
        <v>100</v>
      </c>
      <c r="J33" s="4"/>
      <c r="K33" s="1" t="s">
        <v>21</v>
      </c>
      <c r="L33" s="1" t="s">
        <v>22</v>
      </c>
      <c r="M33" s="1" t="s">
        <v>23</v>
      </c>
      <c r="N33" s="1" t="s">
        <v>24</v>
      </c>
      <c r="O33" s="1" t="s">
        <v>24</v>
      </c>
      <c r="P33" s="1" t="s">
        <v>25</v>
      </c>
      <c r="Q33" s="1" t="s">
        <v>26</v>
      </c>
      <c r="R33" s="1" t="s">
        <v>27</v>
      </c>
      <c r="S33" s="1"/>
    </row>
    <row r="34" spans="1:19" ht="15.75" customHeight="1">
      <c r="A34" s="5">
        <v>2</v>
      </c>
      <c r="B34" s="5" t="s">
        <v>61</v>
      </c>
      <c r="C34" s="6" t="s">
        <v>42</v>
      </c>
      <c r="D34" s="6" t="s">
        <v>62</v>
      </c>
      <c r="E34" s="6" t="s">
        <v>64</v>
      </c>
      <c r="F34" s="5">
        <v>35</v>
      </c>
      <c r="G34" s="5">
        <v>35</v>
      </c>
      <c r="H34" s="5">
        <v>30</v>
      </c>
      <c r="I34" s="5">
        <v>100</v>
      </c>
      <c r="J34" s="4"/>
      <c r="K34" s="1" t="s">
        <v>21</v>
      </c>
      <c r="L34" s="1" t="s">
        <v>22</v>
      </c>
      <c r="M34" s="1"/>
      <c r="N34" s="1"/>
      <c r="O34" s="1"/>
      <c r="P34" s="1"/>
      <c r="Q34" s="1"/>
      <c r="R34" s="1"/>
      <c r="S34" s="1"/>
    </row>
    <row r="35" spans="1:19" ht="15.75" customHeight="1">
      <c r="A35" s="5">
        <v>3</v>
      </c>
      <c r="B35" s="5" t="s">
        <v>61</v>
      </c>
      <c r="C35" s="6" t="s">
        <v>30</v>
      </c>
      <c r="D35" s="6" t="s">
        <v>62</v>
      </c>
      <c r="E35" s="6" t="s">
        <v>65</v>
      </c>
      <c r="F35" s="5">
        <v>35</v>
      </c>
      <c r="G35" s="5">
        <v>35</v>
      </c>
      <c r="H35" s="5">
        <v>30</v>
      </c>
      <c r="I35" s="5">
        <v>100</v>
      </c>
      <c r="J35" s="4"/>
      <c r="K35" s="1" t="s">
        <v>21</v>
      </c>
      <c r="L35" s="1" t="s">
        <v>22</v>
      </c>
      <c r="M35" s="1"/>
      <c r="N35" s="1"/>
      <c r="O35" s="1"/>
      <c r="P35" s="1"/>
      <c r="Q35" s="1"/>
      <c r="R35" s="1"/>
      <c r="S35" s="1"/>
    </row>
    <row r="36" spans="1:19" ht="15">
      <c r="A36" s="92" t="s">
        <v>46</v>
      </c>
      <c r="B36" s="93"/>
      <c r="C36" s="93"/>
      <c r="D36" s="93"/>
      <c r="E36" s="93"/>
      <c r="F36" s="93"/>
      <c r="G36" s="93"/>
      <c r="H36" s="93"/>
      <c r="I36" s="7">
        <v>300</v>
      </c>
      <c r="J36" s="9" t="s">
        <v>66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1"/>
      <c r="L37" s="1"/>
      <c r="M37" s="1"/>
      <c r="N37" s="1"/>
      <c r="O37" s="1"/>
      <c r="P37" s="1"/>
      <c r="Q37" s="1"/>
      <c r="R37" s="1"/>
      <c r="S37" s="1"/>
    </row>
    <row r="38" spans="1:19" ht="15">
      <c r="A38" s="91" t="s">
        <v>67</v>
      </c>
      <c r="B38" s="90"/>
      <c r="C38" s="90"/>
      <c r="D38" s="90"/>
      <c r="E38" s="90"/>
      <c r="F38" s="90"/>
      <c r="G38" s="90"/>
      <c r="H38" s="90"/>
      <c r="I38" s="90"/>
      <c r="J38" s="90"/>
      <c r="K38" s="1"/>
      <c r="L38" s="1"/>
      <c r="M38" s="1"/>
      <c r="N38" s="1"/>
      <c r="O38" s="1"/>
      <c r="P38" s="1"/>
      <c r="Q38" s="1"/>
      <c r="R38" s="1"/>
      <c r="S38" s="1"/>
    </row>
    <row r="39" spans="1:19" ht="15">
      <c r="A39" s="3" t="s">
        <v>11</v>
      </c>
      <c r="B39" s="4" t="s">
        <v>12</v>
      </c>
      <c r="C39" s="4" t="s">
        <v>13</v>
      </c>
      <c r="D39" s="4" t="s">
        <v>2</v>
      </c>
      <c r="E39" s="4" t="s">
        <v>14</v>
      </c>
      <c r="F39" s="4" t="s">
        <v>68</v>
      </c>
      <c r="G39" s="4" t="s">
        <v>69</v>
      </c>
      <c r="H39" s="4"/>
      <c r="I39" s="4" t="s">
        <v>15</v>
      </c>
      <c r="J39" s="4" t="s">
        <v>16</v>
      </c>
      <c r="K39" s="1"/>
      <c r="L39" s="1"/>
      <c r="M39" s="1" t="s">
        <v>23</v>
      </c>
      <c r="N39" s="1" t="s">
        <v>24</v>
      </c>
      <c r="O39" s="1" t="s">
        <v>24</v>
      </c>
      <c r="P39" s="1" t="s">
        <v>25</v>
      </c>
      <c r="Q39" s="1" t="s">
        <v>26</v>
      </c>
      <c r="R39" s="1" t="s">
        <v>70</v>
      </c>
      <c r="S39" s="1"/>
    </row>
    <row r="40" spans="1:19" ht="15">
      <c r="A40" s="5">
        <v>1</v>
      </c>
      <c r="B40" s="5" t="s">
        <v>71</v>
      </c>
      <c r="C40" s="6" t="s">
        <v>30</v>
      </c>
      <c r="D40" s="6" t="s">
        <v>62</v>
      </c>
      <c r="E40" s="6" t="s">
        <v>72</v>
      </c>
      <c r="F40" s="5">
        <v>50</v>
      </c>
      <c r="G40" s="5">
        <v>50</v>
      </c>
      <c r="H40" s="5"/>
      <c r="I40" s="5">
        <v>100</v>
      </c>
      <c r="J40" s="4"/>
      <c r="K40" s="1" t="s">
        <v>21</v>
      </c>
      <c r="L40" s="1" t="s">
        <v>22</v>
      </c>
      <c r="M40" s="1"/>
      <c r="N40" s="1"/>
      <c r="O40" s="1"/>
      <c r="P40" s="1"/>
      <c r="Q40" s="1"/>
      <c r="R40" s="1"/>
      <c r="S40" s="1"/>
    </row>
    <row r="41" spans="1:19" ht="15">
      <c r="A41" s="5">
        <v>2</v>
      </c>
      <c r="B41" s="5" t="s">
        <v>71</v>
      </c>
      <c r="C41" s="6" t="s">
        <v>35</v>
      </c>
      <c r="D41" s="6" t="s">
        <v>62</v>
      </c>
      <c r="E41" s="6" t="s">
        <v>73</v>
      </c>
      <c r="F41" s="5">
        <v>50</v>
      </c>
      <c r="G41" s="5">
        <v>50</v>
      </c>
      <c r="H41" s="5"/>
      <c r="I41" s="5">
        <v>100</v>
      </c>
      <c r="J41" s="4"/>
      <c r="K41" s="1" t="s">
        <v>21</v>
      </c>
      <c r="L41" s="1" t="s">
        <v>22</v>
      </c>
      <c r="M41" s="1"/>
      <c r="N41" s="1"/>
      <c r="O41" s="1"/>
      <c r="P41" s="1"/>
      <c r="Q41" s="1"/>
      <c r="R41" s="1"/>
      <c r="S41" s="1"/>
    </row>
    <row r="42" spans="1:19" ht="15">
      <c r="A42" s="92" t="s">
        <v>46</v>
      </c>
      <c r="B42" s="93"/>
      <c r="C42" s="93"/>
      <c r="D42" s="93"/>
      <c r="E42" s="93"/>
      <c r="F42" s="93"/>
      <c r="G42" s="93"/>
      <c r="H42" s="93"/>
      <c r="I42" s="7">
        <v>200</v>
      </c>
      <c r="J42" s="9" t="s">
        <v>74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</row>
    <row r="44" spans="1:19" ht="15">
      <c r="A44" s="91" t="s">
        <v>75</v>
      </c>
      <c r="B44" s="90"/>
      <c r="C44" s="90"/>
      <c r="D44" s="90"/>
      <c r="E44" s="90"/>
      <c r="F44" s="90"/>
      <c r="G44" s="90"/>
      <c r="H44" s="90"/>
      <c r="I44" s="90"/>
      <c r="J44" s="90"/>
      <c r="K44" s="1"/>
      <c r="L44" s="1"/>
      <c r="M44" s="1"/>
      <c r="N44" s="1"/>
      <c r="O44" s="1"/>
      <c r="P44" s="1"/>
      <c r="Q44" s="1"/>
      <c r="R44" s="1"/>
      <c r="S44" s="1"/>
    </row>
    <row r="45" spans="1:19" ht="15">
      <c r="A45" s="3" t="s">
        <v>11</v>
      </c>
      <c r="B45" s="4" t="s">
        <v>12</v>
      </c>
      <c r="C45" s="4" t="s">
        <v>13</v>
      </c>
      <c r="D45" s="4" t="s">
        <v>2</v>
      </c>
      <c r="E45" s="4" t="s">
        <v>48</v>
      </c>
      <c r="F45" s="95" t="s">
        <v>76</v>
      </c>
      <c r="G45" s="93"/>
      <c r="H45" s="96"/>
      <c r="I45" s="4" t="s">
        <v>15</v>
      </c>
      <c r="J45" s="4"/>
      <c r="K45" s="1" t="s">
        <v>21</v>
      </c>
      <c r="L45" s="1"/>
      <c r="M45" s="1" t="s">
        <v>23</v>
      </c>
      <c r="N45" s="10" t="s">
        <v>77</v>
      </c>
      <c r="O45" s="1" t="s">
        <v>77</v>
      </c>
      <c r="P45" s="1" t="s">
        <v>78</v>
      </c>
      <c r="Q45" s="1" t="s">
        <v>26</v>
      </c>
      <c r="R45" s="1" t="s">
        <v>79</v>
      </c>
      <c r="S45" s="1" t="s">
        <v>80</v>
      </c>
    </row>
    <row r="46" spans="1:19" ht="15">
      <c r="A46" s="5">
        <v>1</v>
      </c>
      <c r="B46" s="5" t="s">
        <v>81</v>
      </c>
      <c r="C46" s="6" t="s">
        <v>49</v>
      </c>
      <c r="D46" s="6" t="s">
        <v>62</v>
      </c>
      <c r="E46" s="6" t="s">
        <v>53</v>
      </c>
      <c r="F46" s="5"/>
      <c r="G46" s="5"/>
      <c r="H46" s="5"/>
      <c r="I46" s="5">
        <v>50</v>
      </c>
      <c r="J46" s="4"/>
      <c r="K46" s="1" t="s">
        <v>21</v>
      </c>
      <c r="L46" s="1"/>
      <c r="M46" s="1"/>
      <c r="N46" s="1"/>
      <c r="O46" s="1"/>
      <c r="P46" s="1"/>
      <c r="Q46" s="1"/>
      <c r="R46" s="1"/>
      <c r="S46" s="1"/>
    </row>
    <row r="47" spans="1:19" ht="15">
      <c r="A47" s="5">
        <v>2</v>
      </c>
      <c r="B47" s="5" t="s">
        <v>81</v>
      </c>
      <c r="C47" s="6" t="s">
        <v>49</v>
      </c>
      <c r="D47" s="6" t="s">
        <v>62</v>
      </c>
      <c r="E47" s="6" t="s">
        <v>54</v>
      </c>
      <c r="F47" s="5"/>
      <c r="G47" s="5"/>
      <c r="H47" s="5"/>
      <c r="I47" s="5">
        <v>50</v>
      </c>
      <c r="J47" s="4"/>
      <c r="K47" s="1" t="s">
        <v>21</v>
      </c>
      <c r="L47" s="1"/>
      <c r="M47" s="1"/>
      <c r="N47" s="1"/>
      <c r="O47" s="1"/>
      <c r="P47" s="1"/>
      <c r="Q47" s="1"/>
      <c r="R47" s="1"/>
      <c r="S47" s="1"/>
    </row>
    <row r="48" spans="1:19" ht="15">
      <c r="A48" s="5">
        <v>3</v>
      </c>
      <c r="B48" s="5" t="s">
        <v>81</v>
      </c>
      <c r="C48" s="6" t="s">
        <v>49</v>
      </c>
      <c r="D48" s="6" t="s">
        <v>62</v>
      </c>
      <c r="E48" s="6" t="s">
        <v>56</v>
      </c>
      <c r="F48" s="5"/>
      <c r="G48" s="5"/>
      <c r="H48" s="5"/>
      <c r="I48" s="5">
        <v>50</v>
      </c>
      <c r="J48" s="4"/>
      <c r="K48" s="1" t="s">
        <v>21</v>
      </c>
      <c r="L48" s="1"/>
      <c r="M48" s="1"/>
      <c r="N48" s="1"/>
      <c r="O48" s="1"/>
      <c r="P48" s="1"/>
      <c r="Q48" s="1"/>
      <c r="R48" s="1"/>
      <c r="S48" s="1"/>
    </row>
    <row r="49" spans="1:19" ht="15">
      <c r="A49" s="5">
        <v>4</v>
      </c>
      <c r="B49" s="5" t="s">
        <v>81</v>
      </c>
      <c r="C49" s="6" t="s">
        <v>49</v>
      </c>
      <c r="D49" s="6" t="s">
        <v>62</v>
      </c>
      <c r="E49" s="6" t="s">
        <v>55</v>
      </c>
      <c r="F49" s="5"/>
      <c r="G49" s="5"/>
      <c r="H49" s="5"/>
      <c r="I49" s="5">
        <v>50</v>
      </c>
      <c r="J49" s="4"/>
      <c r="K49" s="1" t="s">
        <v>21</v>
      </c>
      <c r="L49" s="1"/>
      <c r="M49" s="1"/>
      <c r="N49" s="1"/>
      <c r="O49" s="1"/>
      <c r="P49" s="1"/>
      <c r="Q49" s="1"/>
      <c r="R49" s="1"/>
      <c r="S49" s="1"/>
    </row>
    <row r="50" spans="1:19" ht="15">
      <c r="A50" s="92" t="s">
        <v>46</v>
      </c>
      <c r="B50" s="93"/>
      <c r="C50" s="93"/>
      <c r="D50" s="93"/>
      <c r="E50" s="93"/>
      <c r="F50" s="93"/>
      <c r="G50" s="93"/>
      <c r="H50" s="93"/>
      <c r="I50" s="7">
        <v>200</v>
      </c>
      <c r="J50" s="4"/>
      <c r="K50" s="1"/>
      <c r="L50" s="1"/>
      <c r="M50" s="1"/>
      <c r="N50" s="1"/>
      <c r="O50" s="1"/>
      <c r="P50" s="1"/>
      <c r="Q50" s="1"/>
      <c r="R50" s="1"/>
      <c r="S50" s="1"/>
    </row>
    <row r="51" spans="1:19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</row>
    <row r="52" spans="1:19" ht="15">
      <c r="A52" s="91" t="s">
        <v>82</v>
      </c>
      <c r="B52" s="90"/>
      <c r="C52" s="90"/>
      <c r="D52" s="90"/>
      <c r="E52" s="90"/>
      <c r="F52" s="90"/>
      <c r="G52" s="90"/>
      <c r="H52" s="90"/>
      <c r="I52" s="90"/>
      <c r="J52" s="90"/>
      <c r="K52" s="1"/>
      <c r="L52" s="1"/>
      <c r="M52" s="1"/>
      <c r="N52" s="1"/>
      <c r="O52" s="1"/>
      <c r="P52" s="1"/>
      <c r="Q52" s="1"/>
      <c r="R52" s="1"/>
      <c r="S52" s="1"/>
    </row>
    <row r="53" spans="1:19" ht="15">
      <c r="A53" s="3" t="s">
        <v>11</v>
      </c>
      <c r="B53" s="4" t="s">
        <v>12</v>
      </c>
      <c r="C53" s="4" t="s">
        <v>83</v>
      </c>
      <c r="D53" s="4" t="s">
        <v>2</v>
      </c>
      <c r="E53" s="4" t="s">
        <v>48</v>
      </c>
      <c r="F53" s="95" t="s">
        <v>76</v>
      </c>
      <c r="G53" s="93"/>
      <c r="H53" s="96"/>
      <c r="I53" s="4" t="s">
        <v>15</v>
      </c>
      <c r="J53" s="4"/>
      <c r="K53" s="1"/>
      <c r="L53" s="1"/>
      <c r="M53" s="1" t="s">
        <v>23</v>
      </c>
      <c r="N53" s="1" t="s">
        <v>77</v>
      </c>
      <c r="O53" s="1" t="s">
        <v>77</v>
      </c>
      <c r="P53" s="1" t="s">
        <v>78</v>
      </c>
      <c r="Q53" s="1" t="s">
        <v>26</v>
      </c>
      <c r="R53" s="1" t="s">
        <v>79</v>
      </c>
      <c r="S53" s="1" t="s">
        <v>80</v>
      </c>
    </row>
    <row r="54" spans="1:19" ht="15">
      <c r="A54" s="5">
        <v>1</v>
      </c>
      <c r="B54" s="5" t="s">
        <v>84</v>
      </c>
      <c r="C54" s="6" t="s">
        <v>18</v>
      </c>
      <c r="D54" s="6" t="s">
        <v>62</v>
      </c>
      <c r="E54" s="6" t="s">
        <v>50</v>
      </c>
      <c r="F54" s="5"/>
      <c r="G54" s="5"/>
      <c r="H54" s="5"/>
      <c r="I54" s="5">
        <v>50</v>
      </c>
      <c r="J54" s="4"/>
      <c r="K54" s="1"/>
      <c r="L54" s="1"/>
      <c r="M54" s="1"/>
      <c r="N54" s="1"/>
      <c r="O54" s="1"/>
      <c r="P54" s="1"/>
      <c r="Q54" s="1"/>
      <c r="R54" s="1"/>
      <c r="S54" s="1"/>
    </row>
    <row r="55" spans="1:19" ht="15">
      <c r="A55" s="5">
        <v>2</v>
      </c>
      <c r="B55" s="5" t="s">
        <v>84</v>
      </c>
      <c r="C55" s="6" t="s">
        <v>18</v>
      </c>
      <c r="D55" s="6" t="s">
        <v>62</v>
      </c>
      <c r="E55" s="6" t="s">
        <v>51</v>
      </c>
      <c r="F55" s="5"/>
      <c r="G55" s="5"/>
      <c r="H55" s="5"/>
      <c r="I55" s="5">
        <v>50</v>
      </c>
      <c r="J55" s="4"/>
      <c r="K55" s="1" t="s">
        <v>21</v>
      </c>
      <c r="L55" s="1"/>
      <c r="M55" s="1"/>
      <c r="N55" s="1"/>
      <c r="O55" s="1"/>
      <c r="P55" s="1"/>
      <c r="Q55" s="1"/>
      <c r="R55" s="1"/>
      <c r="S55" s="1"/>
    </row>
    <row r="56" spans="1:19" ht="15">
      <c r="A56" s="5">
        <v>3</v>
      </c>
      <c r="B56" s="5" t="s">
        <v>84</v>
      </c>
      <c r="C56" s="6" t="s">
        <v>49</v>
      </c>
      <c r="D56" s="6" t="s">
        <v>62</v>
      </c>
      <c r="E56" s="6" t="s">
        <v>52</v>
      </c>
      <c r="F56" s="5"/>
      <c r="G56" s="5"/>
      <c r="H56" s="5"/>
      <c r="I56" s="5">
        <v>50</v>
      </c>
      <c r="J56" s="4"/>
      <c r="K56" s="1" t="s">
        <v>21</v>
      </c>
      <c r="L56" s="1"/>
      <c r="M56" s="1"/>
      <c r="N56" s="1"/>
      <c r="O56" s="1"/>
      <c r="P56" s="1"/>
      <c r="Q56" s="1"/>
      <c r="R56" s="1"/>
      <c r="S56" s="1"/>
    </row>
    <row r="57" spans="1:19" ht="15">
      <c r="A57" s="92" t="s">
        <v>46</v>
      </c>
      <c r="B57" s="93"/>
      <c r="C57" s="93"/>
      <c r="D57" s="93"/>
      <c r="E57" s="93"/>
      <c r="F57" s="93"/>
      <c r="G57" s="93"/>
      <c r="H57" s="93"/>
      <c r="I57" s="7">
        <v>150</v>
      </c>
      <c r="J57" s="4"/>
      <c r="K57" s="1"/>
      <c r="L57" s="1"/>
      <c r="M57" s="1"/>
      <c r="N57" s="1"/>
      <c r="O57" s="1"/>
      <c r="P57" s="1"/>
      <c r="Q57" s="1"/>
      <c r="R57" s="1"/>
      <c r="S57" s="1"/>
    </row>
    <row r="58" spans="1:19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</row>
    <row r="59" spans="1:19" ht="15">
      <c r="A59" s="91" t="s">
        <v>85</v>
      </c>
      <c r="B59" s="90"/>
      <c r="C59" s="90"/>
      <c r="D59" s="90"/>
      <c r="E59" s="90"/>
      <c r="F59" s="90"/>
      <c r="G59" s="90"/>
      <c r="H59" s="90"/>
      <c r="I59" s="90"/>
      <c r="J59" s="90"/>
      <c r="K59" s="1"/>
      <c r="L59" s="1"/>
      <c r="M59" s="1"/>
      <c r="N59" s="1"/>
      <c r="O59" s="1"/>
      <c r="P59" s="1"/>
      <c r="Q59" s="1"/>
      <c r="R59" s="1"/>
      <c r="S59" s="1"/>
    </row>
    <row r="60" spans="1:19" ht="15">
      <c r="A60" s="3" t="s">
        <v>11</v>
      </c>
      <c r="B60" s="4" t="s">
        <v>12</v>
      </c>
      <c r="C60" s="4" t="s">
        <v>86</v>
      </c>
      <c r="D60" s="4" t="s">
        <v>2</v>
      </c>
      <c r="E60" s="4" t="s">
        <v>48</v>
      </c>
      <c r="F60" s="4" t="s">
        <v>87</v>
      </c>
      <c r="G60" s="4" t="s">
        <v>88</v>
      </c>
      <c r="H60" s="4"/>
      <c r="I60" s="4" t="s">
        <v>15</v>
      </c>
      <c r="J60" s="4"/>
      <c r="K60" s="1"/>
      <c r="L60" s="1"/>
      <c r="M60" s="1" t="s">
        <v>89</v>
      </c>
      <c r="N60" s="1" t="s">
        <v>90</v>
      </c>
      <c r="O60" s="1" t="s">
        <v>24</v>
      </c>
      <c r="P60" s="1" t="s">
        <v>25</v>
      </c>
      <c r="Q60" s="1" t="s">
        <v>26</v>
      </c>
      <c r="R60" s="1" t="s">
        <v>70</v>
      </c>
      <c r="S60" s="1"/>
    </row>
    <row r="61" spans="1:19" ht="15">
      <c r="A61" s="5">
        <v>1</v>
      </c>
      <c r="B61" s="5" t="s">
        <v>91</v>
      </c>
      <c r="C61" s="6" t="s">
        <v>49</v>
      </c>
      <c r="D61" s="6" t="s">
        <v>19</v>
      </c>
      <c r="E61" s="6" t="s">
        <v>50</v>
      </c>
      <c r="F61" s="5">
        <v>25</v>
      </c>
      <c r="G61" s="5">
        <v>25</v>
      </c>
      <c r="H61" s="5"/>
      <c r="I61" s="5">
        <v>50</v>
      </c>
      <c r="J61" s="4"/>
      <c r="K61" s="1" t="s">
        <v>21</v>
      </c>
      <c r="L61" s="1"/>
      <c r="M61" s="1"/>
      <c r="N61" s="1"/>
      <c r="O61" s="1"/>
      <c r="P61" s="1"/>
      <c r="Q61" s="1"/>
      <c r="R61" s="1"/>
      <c r="S61" s="1"/>
    </row>
    <row r="62" spans="1:19" ht="15">
      <c r="A62" s="5">
        <v>2</v>
      </c>
      <c r="B62" s="5" t="s">
        <v>91</v>
      </c>
      <c r="C62" s="6" t="s">
        <v>49</v>
      </c>
      <c r="D62" s="6" t="s">
        <v>19</v>
      </c>
      <c r="E62" s="6" t="s">
        <v>51</v>
      </c>
      <c r="F62" s="5">
        <v>25</v>
      </c>
      <c r="G62" s="5">
        <v>25</v>
      </c>
      <c r="H62" s="5"/>
      <c r="I62" s="5">
        <v>50</v>
      </c>
      <c r="J62" s="4"/>
      <c r="K62" s="1" t="s">
        <v>21</v>
      </c>
      <c r="L62" s="1"/>
      <c r="M62" s="1"/>
      <c r="N62" s="1"/>
      <c r="O62" s="1"/>
      <c r="P62" s="1"/>
      <c r="Q62" s="1"/>
      <c r="R62" s="1"/>
      <c r="S62" s="1"/>
    </row>
    <row r="63" spans="1:19" ht="15">
      <c r="A63" s="5">
        <v>3</v>
      </c>
      <c r="B63" s="5" t="s">
        <v>91</v>
      </c>
      <c r="C63" s="6" t="s">
        <v>49</v>
      </c>
      <c r="D63" s="6" t="s">
        <v>19</v>
      </c>
      <c r="E63" s="6" t="s">
        <v>52</v>
      </c>
      <c r="F63" s="5">
        <v>25</v>
      </c>
      <c r="G63" s="5">
        <v>25</v>
      </c>
      <c r="H63" s="5"/>
      <c r="I63" s="5">
        <v>50</v>
      </c>
      <c r="J63" s="4"/>
      <c r="K63" s="1" t="s">
        <v>21</v>
      </c>
      <c r="L63" s="1"/>
      <c r="M63" s="1"/>
      <c r="N63" s="1"/>
      <c r="O63" s="1"/>
      <c r="P63" s="1"/>
      <c r="Q63" s="1"/>
      <c r="R63" s="1"/>
      <c r="S63" s="1"/>
    </row>
    <row r="64" spans="1:19" ht="15">
      <c r="A64" s="5">
        <v>4</v>
      </c>
      <c r="B64" s="5" t="s">
        <v>91</v>
      </c>
      <c r="C64" s="6" t="s">
        <v>49</v>
      </c>
      <c r="D64" s="6" t="s">
        <v>19</v>
      </c>
      <c r="E64" s="6" t="s">
        <v>53</v>
      </c>
      <c r="F64" s="5">
        <v>25</v>
      </c>
      <c r="G64" s="5">
        <v>25</v>
      </c>
      <c r="H64" s="5"/>
      <c r="I64" s="5">
        <v>50</v>
      </c>
      <c r="J64" s="4"/>
      <c r="K64" s="1" t="s">
        <v>21</v>
      </c>
      <c r="L64" s="1"/>
      <c r="M64" s="1"/>
      <c r="N64" s="1"/>
      <c r="O64" s="1"/>
      <c r="P64" s="1"/>
      <c r="Q64" s="1"/>
      <c r="R64" s="1"/>
      <c r="S64" s="1"/>
    </row>
    <row r="65" spans="1:19" ht="15">
      <c r="A65" s="5">
        <v>5</v>
      </c>
      <c r="B65" s="5" t="s">
        <v>91</v>
      </c>
      <c r="C65" s="6" t="s">
        <v>49</v>
      </c>
      <c r="D65" s="6" t="s">
        <v>19</v>
      </c>
      <c r="E65" s="6" t="s">
        <v>54</v>
      </c>
      <c r="F65" s="5">
        <v>25</v>
      </c>
      <c r="G65" s="5">
        <v>25</v>
      </c>
      <c r="H65" s="5"/>
      <c r="I65" s="5">
        <v>50</v>
      </c>
      <c r="J65" s="4"/>
      <c r="K65" s="1" t="s">
        <v>21</v>
      </c>
      <c r="L65" s="1"/>
      <c r="M65" s="1"/>
      <c r="N65" s="1"/>
      <c r="O65" s="1"/>
      <c r="P65" s="1"/>
      <c r="Q65" s="1"/>
      <c r="R65" s="1"/>
      <c r="S65" s="1"/>
    </row>
    <row r="66" spans="1:19" ht="15">
      <c r="A66" s="5">
        <v>6</v>
      </c>
      <c r="B66" s="5" t="s">
        <v>91</v>
      </c>
      <c r="C66" s="6" t="s">
        <v>49</v>
      </c>
      <c r="D66" s="6" t="s">
        <v>19</v>
      </c>
      <c r="E66" s="6" t="s">
        <v>55</v>
      </c>
      <c r="F66" s="5">
        <v>25</v>
      </c>
      <c r="G66" s="5">
        <v>25</v>
      </c>
      <c r="H66" s="5"/>
      <c r="I66" s="5">
        <v>50</v>
      </c>
      <c r="J66" s="4"/>
      <c r="K66" s="1" t="s">
        <v>21</v>
      </c>
      <c r="L66" s="1"/>
      <c r="M66" s="1"/>
      <c r="N66" s="1"/>
      <c r="O66" s="1"/>
      <c r="P66" s="1"/>
      <c r="Q66" s="1"/>
      <c r="R66" s="1"/>
      <c r="S66" s="1"/>
    </row>
    <row r="67" spans="1:19" ht="15">
      <c r="A67" s="5">
        <v>7</v>
      </c>
      <c r="B67" s="5" t="s">
        <v>91</v>
      </c>
      <c r="C67" s="6" t="s">
        <v>49</v>
      </c>
      <c r="D67" s="6" t="s">
        <v>19</v>
      </c>
      <c r="E67" s="6" t="s">
        <v>56</v>
      </c>
      <c r="F67" s="5">
        <v>25</v>
      </c>
      <c r="G67" s="5">
        <v>25</v>
      </c>
      <c r="H67" s="5"/>
      <c r="I67" s="5">
        <v>50</v>
      </c>
      <c r="J67" s="4"/>
      <c r="K67" s="1" t="s">
        <v>21</v>
      </c>
      <c r="L67" s="1"/>
      <c r="M67" s="1"/>
      <c r="N67" s="1"/>
      <c r="O67" s="1"/>
      <c r="P67" s="1"/>
      <c r="Q67" s="1"/>
      <c r="R67" s="1"/>
      <c r="S67" s="1"/>
    </row>
    <row r="68" spans="1:19" ht="15">
      <c r="A68" s="92" t="s">
        <v>46</v>
      </c>
      <c r="B68" s="93"/>
      <c r="C68" s="93"/>
      <c r="D68" s="93"/>
      <c r="E68" s="93"/>
      <c r="F68" s="93"/>
      <c r="G68" s="93"/>
      <c r="H68" s="93"/>
      <c r="I68" s="7">
        <v>350</v>
      </c>
      <c r="J68" s="4"/>
      <c r="K68" s="1"/>
      <c r="L68" s="1"/>
      <c r="M68" s="1"/>
      <c r="N68" s="1"/>
      <c r="O68" s="1"/>
      <c r="P68" s="1"/>
      <c r="Q68" s="1"/>
      <c r="R68" s="1"/>
      <c r="S68" s="1"/>
    </row>
    <row r="69" spans="1:19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94" t="s">
        <v>92</v>
      </c>
      <c r="B70" s="90"/>
      <c r="C70" s="90"/>
      <c r="D70" s="90"/>
      <c r="E70" s="90"/>
      <c r="F70" s="90"/>
      <c r="G70" s="90"/>
      <c r="H70" s="90"/>
      <c r="I70" s="11">
        <v>3302</v>
      </c>
      <c r="J70" s="8"/>
      <c r="K70" s="1"/>
      <c r="L70" s="1"/>
      <c r="M70" s="1"/>
      <c r="N70" s="1"/>
      <c r="O70" s="1"/>
      <c r="P70" s="1"/>
      <c r="Q70" s="1"/>
      <c r="R70" s="1"/>
      <c r="S70" s="1"/>
    </row>
    <row r="71" spans="1:19" ht="15">
      <c r="A71" s="8"/>
      <c r="B71" s="8"/>
      <c r="C71" s="8"/>
      <c r="D71" s="8"/>
      <c r="E71" s="8"/>
      <c r="F71" s="8"/>
      <c r="G71" s="8"/>
      <c r="H71" s="8" t="s">
        <v>93</v>
      </c>
      <c r="I71" s="8">
        <v>350</v>
      </c>
      <c r="J71" s="8"/>
      <c r="K71" s="1"/>
      <c r="L71" s="1"/>
      <c r="M71" s="1"/>
      <c r="N71" s="1"/>
      <c r="O71" s="1"/>
      <c r="P71" s="1"/>
      <c r="Q71" s="1"/>
      <c r="R71" s="1"/>
      <c r="S71" s="1"/>
    </row>
    <row r="72" spans="1:19" ht="15">
      <c r="A72" s="8"/>
      <c r="B72" s="8"/>
      <c r="C72" s="8"/>
      <c r="D72" s="8"/>
      <c r="E72" s="8"/>
      <c r="F72" s="8"/>
      <c r="G72" s="8"/>
      <c r="H72" s="8" t="s">
        <v>94</v>
      </c>
      <c r="I72" s="8">
        <v>200</v>
      </c>
      <c r="J72" s="8"/>
      <c r="K72" s="1"/>
      <c r="L72" s="1"/>
      <c r="M72" s="1"/>
      <c r="N72" s="1"/>
      <c r="O72" s="1"/>
      <c r="P72" s="1"/>
      <c r="Q72" s="1"/>
      <c r="R72" s="1"/>
      <c r="S72" s="1"/>
    </row>
    <row r="73" spans="1:19" ht="12.75">
      <c r="I73" s="12">
        <f>SUM(I72+I71+I70)</f>
        <v>3852</v>
      </c>
    </row>
    <row r="76" spans="1:19" ht="12.75">
      <c r="D76" s="12" t="s">
        <v>95</v>
      </c>
      <c r="E76" s="12">
        <f>I7+I8+I35+I40</f>
        <v>400</v>
      </c>
      <c r="G76" s="13">
        <v>15</v>
      </c>
    </row>
    <row r="77" spans="1:19" ht="12.75">
      <c r="D77" s="12" t="s">
        <v>96</v>
      </c>
      <c r="E77" s="12">
        <f>I9+I10+I33</f>
        <v>300</v>
      </c>
      <c r="G77" s="13">
        <v>12</v>
      </c>
    </row>
    <row r="78" spans="1:19" ht="12.75">
      <c r="D78" s="12" t="s">
        <v>97</v>
      </c>
      <c r="E78" s="12">
        <f>I11+I41</f>
        <v>200</v>
      </c>
      <c r="G78" s="13">
        <v>7</v>
      </c>
    </row>
    <row r="79" spans="1:19" ht="12.75">
      <c r="D79" s="12" t="s">
        <v>98</v>
      </c>
      <c r="E79" s="12">
        <f>I12</f>
        <v>100</v>
      </c>
      <c r="G79" s="13">
        <v>4</v>
      </c>
    </row>
    <row r="80" spans="1:19" ht="12.75">
      <c r="D80" s="12" t="s">
        <v>99</v>
      </c>
      <c r="E80" s="12">
        <f>I13+I14</f>
        <v>200</v>
      </c>
      <c r="G80" s="13">
        <v>7</v>
      </c>
    </row>
    <row r="81" spans="4:7" ht="12.75">
      <c r="D81" s="12" t="s">
        <v>100</v>
      </c>
      <c r="E81" s="12">
        <v>234</v>
      </c>
      <c r="G81" s="13">
        <f>E81/30</f>
        <v>7.8</v>
      </c>
    </row>
    <row r="82" spans="4:7" ht="12.75">
      <c r="D82" s="12" t="s">
        <v>101</v>
      </c>
      <c r="E82" s="12">
        <v>100</v>
      </c>
      <c r="G82" s="13">
        <v>4</v>
      </c>
    </row>
    <row r="83" spans="4:7" ht="12.75">
      <c r="D83" s="12" t="s">
        <v>102</v>
      </c>
      <c r="E83" s="12">
        <v>50</v>
      </c>
      <c r="G83" s="13">
        <v>2</v>
      </c>
    </row>
    <row r="84" spans="4:7" ht="12.75">
      <c r="D84" s="12" t="s">
        <v>103</v>
      </c>
      <c r="E84" s="12">
        <v>50</v>
      </c>
      <c r="G84" s="13">
        <v>2</v>
      </c>
    </row>
    <row r="85" spans="4:7" ht="12.75">
      <c r="D85" s="12" t="s">
        <v>104</v>
      </c>
      <c r="E85" s="12">
        <v>50</v>
      </c>
      <c r="G85" s="13">
        <v>2</v>
      </c>
    </row>
    <row r="86" spans="4:7" ht="12.75">
      <c r="D86" s="12" t="s">
        <v>18</v>
      </c>
      <c r="E86" s="12">
        <v>300</v>
      </c>
      <c r="G86" s="13">
        <f>E86/30</f>
        <v>10</v>
      </c>
    </row>
    <row r="87" spans="4:7" ht="12.75">
      <c r="D87" s="12" t="s">
        <v>49</v>
      </c>
      <c r="E87" s="12">
        <f>I29+I50+I68</f>
        <v>1250</v>
      </c>
      <c r="G87" s="13">
        <v>41</v>
      </c>
    </row>
    <row r="89" spans="4:7" ht="12.75">
      <c r="E89" s="12">
        <v>3302</v>
      </c>
    </row>
    <row r="108" spans="8:8" ht="12.75">
      <c r="H108" s="12">
        <f>175+175+490+245+490+245+420+210+410+90+350</f>
        <v>3300</v>
      </c>
    </row>
  </sheetData>
  <autoFilter ref="A2:J68" xr:uid="{00000000-0009-0000-0000-000000000000}"/>
  <mergeCells count="18">
    <mergeCell ref="A70:H70"/>
    <mergeCell ref="A38:J38"/>
    <mergeCell ref="A42:H42"/>
    <mergeCell ref="A44:J44"/>
    <mergeCell ref="F45:H45"/>
    <mergeCell ref="A50:H50"/>
    <mergeCell ref="A52:J52"/>
    <mergeCell ref="F53:H53"/>
    <mergeCell ref="A31:J31"/>
    <mergeCell ref="A36:H36"/>
    <mergeCell ref="A57:H57"/>
    <mergeCell ref="A59:J59"/>
    <mergeCell ref="A68:H68"/>
    <mergeCell ref="A1:J1"/>
    <mergeCell ref="A2:J2"/>
    <mergeCell ref="A18:H18"/>
    <mergeCell ref="A20:J20"/>
    <mergeCell ref="A29:H29"/>
  </mergeCells>
  <phoneticPr fontId="27" type="noConversion"/>
  <hyperlinks>
    <hyperlink ref="A3" r:id="rId1" xr:uid="{00000000-0004-0000-0000-000000000000}"/>
    <hyperlink ref="A21" r:id="rId2" xr:uid="{00000000-0004-0000-0000-000001000000}"/>
    <hyperlink ref="A32" r:id="rId3" xr:uid="{00000000-0004-0000-0000-000002000000}"/>
    <hyperlink ref="A39" r:id="rId4" xr:uid="{00000000-0004-0000-0000-000003000000}"/>
    <hyperlink ref="A45" r:id="rId5" xr:uid="{00000000-0004-0000-0000-000004000000}"/>
    <hyperlink ref="A53" r:id="rId6" xr:uid="{00000000-0004-0000-0000-000005000000}"/>
    <hyperlink ref="A60" r:id="rId7" xr:uid="{00000000-0004-0000-0000-000006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2FD9-E167-4F23-A512-F49EABBB6204}">
  <dimension ref="B3:H17"/>
  <sheetViews>
    <sheetView workbookViewId="0">
      <selection activeCell="D29" sqref="D29"/>
    </sheetView>
  </sheetViews>
  <sheetFormatPr defaultRowHeight="12.75"/>
  <cols>
    <col min="2" max="2" width="11.85546875" customWidth="1"/>
    <col min="3" max="3" width="20.28515625" customWidth="1"/>
    <col min="4" max="4" width="17.42578125" customWidth="1"/>
    <col min="5" max="6" width="12" customWidth="1"/>
    <col min="7" max="8" width="10.42578125" customWidth="1"/>
  </cols>
  <sheetData>
    <row r="3" spans="2:8" ht="16.5" customHeight="1">
      <c r="B3" s="23" t="s">
        <v>105</v>
      </c>
      <c r="C3" s="18" t="s">
        <v>106</v>
      </c>
      <c r="D3" s="18" t="s">
        <v>115</v>
      </c>
      <c r="E3" s="19" t="s">
        <v>120</v>
      </c>
      <c r="F3" s="19" t="s">
        <v>121</v>
      </c>
      <c r="G3" s="19" t="s">
        <v>122</v>
      </c>
      <c r="H3" s="19" t="s">
        <v>123</v>
      </c>
    </row>
    <row r="4" spans="2:8" ht="16.5" customHeight="1">
      <c r="B4" s="17"/>
      <c r="C4" s="16"/>
      <c r="D4" s="16">
        <v>3302</v>
      </c>
      <c r="E4" s="15"/>
      <c r="F4" s="15"/>
      <c r="G4" s="14"/>
      <c r="H4" s="14"/>
    </row>
    <row r="5" spans="2:8" ht="16.5" customHeight="1">
      <c r="B5" s="24">
        <v>1</v>
      </c>
      <c r="C5" s="25" t="s">
        <v>108</v>
      </c>
      <c r="D5" s="26">
        <v>3302</v>
      </c>
      <c r="E5" s="26" t="s">
        <v>119</v>
      </c>
      <c r="F5" s="26" t="s">
        <v>117</v>
      </c>
      <c r="G5" s="26" t="s">
        <v>118</v>
      </c>
      <c r="H5" s="25"/>
    </row>
    <row r="6" spans="2:8" ht="16.5" customHeight="1">
      <c r="B6" s="24">
        <v>2</v>
      </c>
      <c r="C6" s="25" t="s">
        <v>109</v>
      </c>
      <c r="D6" s="26"/>
      <c r="E6" s="26">
        <f>490+245</f>
        <v>735</v>
      </c>
      <c r="F6" s="26">
        <f>490+245</f>
        <v>735</v>
      </c>
      <c r="G6" s="26">
        <f>420+210</f>
        <v>630</v>
      </c>
      <c r="H6" s="25"/>
    </row>
    <row r="7" spans="2:8" ht="16.5" customHeight="1">
      <c r="B7" s="24">
        <v>3</v>
      </c>
      <c r="C7" s="25" t="s">
        <v>107</v>
      </c>
      <c r="D7" s="26"/>
      <c r="E7" s="26"/>
      <c r="F7" s="26"/>
      <c r="G7" s="26"/>
      <c r="H7" s="25"/>
    </row>
    <row r="8" spans="2:8" ht="16.5" customHeight="1">
      <c r="B8" s="24">
        <v>4</v>
      </c>
      <c r="C8" s="25" t="s">
        <v>110</v>
      </c>
      <c r="D8" s="26">
        <v>145</v>
      </c>
      <c r="E8" s="26"/>
      <c r="F8" s="26"/>
      <c r="G8" s="26"/>
      <c r="H8" s="25"/>
    </row>
    <row r="9" spans="2:8" ht="16.5" customHeight="1">
      <c r="B9" s="24">
        <v>5</v>
      </c>
      <c r="C9" s="25" t="s">
        <v>111</v>
      </c>
      <c r="D9" s="26">
        <v>25</v>
      </c>
      <c r="E9" s="26"/>
      <c r="F9" s="26"/>
      <c r="G9" s="26"/>
      <c r="H9" s="25"/>
    </row>
    <row r="10" spans="2:8" ht="16.5" customHeight="1">
      <c r="B10" s="24">
        <v>6</v>
      </c>
      <c r="C10" s="25" t="s">
        <v>112</v>
      </c>
      <c r="D10" s="26"/>
      <c r="E10" s="26"/>
      <c r="F10" s="26"/>
      <c r="G10" s="26"/>
      <c r="H10" s="25"/>
    </row>
    <row r="11" spans="2:8" ht="16.5" customHeight="1">
      <c r="B11" s="24">
        <v>7</v>
      </c>
      <c r="C11" s="25" t="s">
        <v>113</v>
      </c>
      <c r="D11" s="26" t="s">
        <v>116</v>
      </c>
      <c r="E11" s="26"/>
      <c r="F11" s="26"/>
      <c r="G11" s="26"/>
      <c r="H11" s="25"/>
    </row>
    <row r="12" spans="2:8" ht="16.5" customHeight="1">
      <c r="B12" s="24">
        <v>8</v>
      </c>
      <c r="C12" s="25" t="s">
        <v>114</v>
      </c>
      <c r="D12" s="26">
        <v>30</v>
      </c>
      <c r="E12" s="26"/>
      <c r="F12" s="26"/>
      <c r="G12" s="26"/>
      <c r="H12" s="25"/>
    </row>
    <row r="13" spans="2:8" ht="16.5" customHeight="1">
      <c r="B13" s="24">
        <v>9</v>
      </c>
      <c r="C13" s="25"/>
      <c r="D13" s="26"/>
      <c r="E13" s="26"/>
      <c r="F13" s="26"/>
      <c r="G13" s="26"/>
      <c r="H13" s="25"/>
    </row>
    <row r="14" spans="2:8" ht="16.5" customHeight="1">
      <c r="B14" s="24">
        <v>10</v>
      </c>
      <c r="C14" s="25"/>
      <c r="D14" s="26"/>
      <c r="E14" s="26"/>
      <c r="F14" s="26"/>
      <c r="G14" s="26"/>
      <c r="H14" s="25"/>
    </row>
    <row r="15" spans="2:8" ht="16.5" customHeight="1">
      <c r="B15" s="24"/>
      <c r="C15" s="25"/>
      <c r="D15" s="26"/>
      <c r="E15" s="26"/>
      <c r="F15" s="26"/>
      <c r="G15" s="26"/>
      <c r="H15" s="25"/>
    </row>
    <row r="16" spans="2:8" ht="16.5" customHeight="1">
      <c r="B16" s="24"/>
      <c r="C16" s="26"/>
      <c r="D16" s="26"/>
      <c r="E16" s="26"/>
      <c r="F16" s="26"/>
      <c r="G16" s="26"/>
      <c r="H16" s="25"/>
    </row>
    <row r="17" spans="2:8">
      <c r="B17" s="20"/>
      <c r="C17" s="21"/>
      <c r="D17" s="21"/>
      <c r="E17" s="21"/>
      <c r="F17" s="21"/>
      <c r="G17" s="21"/>
      <c r="H17" s="22"/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EAFE-89A0-4E28-9E45-A6FA051435AD}">
  <dimension ref="A1:S81"/>
  <sheetViews>
    <sheetView workbookViewId="0">
      <selection activeCell="G9" sqref="G9:G51"/>
    </sheetView>
  </sheetViews>
  <sheetFormatPr defaultRowHeight="12.75"/>
  <cols>
    <col min="1" max="1" width="25.28515625" customWidth="1"/>
    <col min="2" max="2" width="38.5703125" customWidth="1"/>
    <col min="3" max="3" width="25.28515625" customWidth="1"/>
    <col min="4" max="4" width="24.5703125" customWidth="1"/>
    <col min="5" max="5" width="25.28515625" customWidth="1"/>
  </cols>
  <sheetData>
    <row r="1" spans="1:16" ht="13.5" thickBot="1"/>
    <row r="2" spans="1:16" ht="23.25" thickBot="1">
      <c r="A2" s="27" t="s">
        <v>124</v>
      </c>
      <c r="B2" s="28"/>
      <c r="C2" s="29" t="s">
        <v>125</v>
      </c>
      <c r="D2" s="85" t="s">
        <v>126</v>
      </c>
      <c r="E2" s="85"/>
      <c r="F2" s="85"/>
      <c r="G2" s="85"/>
      <c r="H2" s="30" t="s">
        <v>127</v>
      </c>
      <c r="I2" s="31">
        <v>46251</v>
      </c>
      <c r="J2" s="32" t="s">
        <v>128</v>
      </c>
      <c r="K2" s="33" t="s">
        <v>129</v>
      </c>
      <c r="L2" s="34"/>
      <c r="M2" s="34"/>
      <c r="N2" s="34"/>
      <c r="O2" s="34"/>
      <c r="P2" s="34"/>
    </row>
    <row r="3" spans="1:16" ht="72.75" customHeight="1">
      <c r="A3" s="35" t="s">
        <v>130</v>
      </c>
      <c r="B3" s="35" t="s">
        <v>131</v>
      </c>
      <c r="C3" s="36"/>
      <c r="D3" s="36"/>
      <c r="E3" s="36"/>
      <c r="F3" s="36"/>
      <c r="G3" s="36"/>
      <c r="H3" s="36"/>
      <c r="I3" s="36"/>
      <c r="J3" s="37" t="s">
        <v>132</v>
      </c>
      <c r="K3" s="38" t="s">
        <v>133</v>
      </c>
      <c r="L3" s="36"/>
      <c r="M3" s="36"/>
      <c r="N3" s="36"/>
      <c r="O3" s="36"/>
      <c r="P3" s="39"/>
    </row>
    <row r="4" spans="1:16" ht="14.25">
      <c r="A4" s="40" t="s">
        <v>134</v>
      </c>
      <c r="B4" s="41"/>
      <c r="C4" s="41"/>
      <c r="D4" s="40" t="s">
        <v>135</v>
      </c>
      <c r="E4" s="40"/>
      <c r="F4" s="86" t="s">
        <v>136</v>
      </c>
      <c r="G4" s="86"/>
      <c r="H4" s="86"/>
      <c r="I4" s="86"/>
      <c r="J4" s="87" t="s">
        <v>137</v>
      </c>
      <c r="K4" s="87"/>
      <c r="L4" s="87"/>
      <c r="M4" s="87"/>
      <c r="N4" s="87"/>
      <c r="O4" s="87"/>
      <c r="P4" s="40"/>
    </row>
    <row r="5" spans="1:16" ht="28.5">
      <c r="A5" s="88"/>
      <c r="B5" s="88"/>
      <c r="C5" s="88"/>
      <c r="D5" s="88"/>
      <c r="E5" s="42"/>
      <c r="F5" s="43"/>
      <c r="G5" s="43"/>
      <c r="H5" s="43"/>
      <c r="I5" s="43"/>
      <c r="J5" s="43"/>
      <c r="K5" s="43"/>
      <c r="L5" s="44"/>
      <c r="M5" s="44"/>
      <c r="N5" s="44"/>
      <c r="O5" s="44"/>
      <c r="P5" s="45" t="s">
        <v>138</v>
      </c>
    </row>
    <row r="6" spans="1:16" ht="40.5" customHeight="1">
      <c r="A6" s="46" t="s">
        <v>139</v>
      </c>
      <c r="B6" s="47" t="s">
        <v>140</v>
      </c>
      <c r="C6" s="47" t="s">
        <v>141</v>
      </c>
      <c r="D6" s="47" t="s">
        <v>142</v>
      </c>
      <c r="E6" s="46" t="s">
        <v>143</v>
      </c>
      <c r="F6" s="46" t="s">
        <v>144</v>
      </c>
      <c r="G6" s="46" t="s">
        <v>145</v>
      </c>
      <c r="H6" s="46" t="s">
        <v>146</v>
      </c>
      <c r="I6" s="46" t="s">
        <v>147</v>
      </c>
      <c r="J6" s="46" t="s">
        <v>146</v>
      </c>
      <c r="K6" s="46" t="s">
        <v>148</v>
      </c>
      <c r="L6" s="46" t="s">
        <v>149</v>
      </c>
      <c r="M6" s="46" t="s">
        <v>150</v>
      </c>
      <c r="N6" s="46" t="s">
        <v>151</v>
      </c>
      <c r="O6" s="46" t="s">
        <v>152</v>
      </c>
      <c r="P6" s="43"/>
    </row>
    <row r="7" spans="1:16" ht="24.75" customHeight="1">
      <c r="A7" s="53" t="s">
        <v>17</v>
      </c>
      <c r="B7" s="54" t="s">
        <v>153</v>
      </c>
      <c r="C7" s="55" t="s">
        <v>18</v>
      </c>
      <c r="D7" s="56" t="s">
        <v>18</v>
      </c>
      <c r="E7" s="57"/>
      <c r="F7" s="58"/>
      <c r="G7" s="58"/>
      <c r="H7" s="58"/>
      <c r="I7" s="59"/>
      <c r="J7" s="59"/>
      <c r="K7" s="59"/>
      <c r="L7" s="59"/>
      <c r="M7" s="59"/>
      <c r="N7" s="59"/>
      <c r="O7" s="59"/>
      <c r="P7" s="48">
        <f t="shared" ref="P7:P50" si="0">SUM(E7:O7)</f>
        <v>0</v>
      </c>
    </row>
    <row r="8" spans="1:16" ht="24.75" customHeight="1">
      <c r="A8" s="53" t="s">
        <v>17</v>
      </c>
      <c r="B8" s="54" t="s">
        <v>154</v>
      </c>
      <c r="C8" s="60" t="s">
        <v>18</v>
      </c>
      <c r="D8" s="56" t="s">
        <v>18</v>
      </c>
      <c r="E8" s="59"/>
      <c r="F8" s="61"/>
      <c r="G8" s="58"/>
      <c r="H8" s="58"/>
      <c r="I8" s="59"/>
      <c r="J8" s="59"/>
      <c r="K8" s="59"/>
      <c r="L8" s="59"/>
      <c r="M8" s="59"/>
      <c r="N8" s="59"/>
      <c r="O8" s="59"/>
      <c r="P8" s="48">
        <f t="shared" si="0"/>
        <v>0</v>
      </c>
    </row>
    <row r="9" spans="1:16" ht="24.75" customHeight="1">
      <c r="A9" s="53" t="s">
        <v>17</v>
      </c>
      <c r="B9" s="54" t="s">
        <v>155</v>
      </c>
      <c r="C9" s="60" t="s">
        <v>18</v>
      </c>
      <c r="D9" s="56" t="s">
        <v>18</v>
      </c>
      <c r="E9" s="62"/>
      <c r="F9" s="61"/>
      <c r="G9" s="58">
        <v>60</v>
      </c>
      <c r="H9" s="58"/>
      <c r="I9" s="59"/>
      <c r="J9" s="59"/>
      <c r="K9" s="59"/>
      <c r="L9" s="59"/>
      <c r="M9" s="59"/>
      <c r="N9" s="59"/>
      <c r="O9" s="59"/>
      <c r="P9" s="48">
        <f t="shared" si="0"/>
        <v>60</v>
      </c>
    </row>
    <row r="10" spans="1:16" ht="24.75" customHeight="1">
      <c r="A10" s="53" t="s">
        <v>17</v>
      </c>
      <c r="B10" s="54" t="s">
        <v>153</v>
      </c>
      <c r="C10" s="63" t="s">
        <v>95</v>
      </c>
      <c r="D10" s="64" t="s">
        <v>156</v>
      </c>
      <c r="E10" s="65"/>
      <c r="F10" s="61"/>
      <c r="G10" s="58">
        <v>60</v>
      </c>
      <c r="H10" s="58"/>
      <c r="I10" s="59"/>
      <c r="J10" s="59"/>
      <c r="K10" s="59"/>
      <c r="L10" s="59"/>
      <c r="M10" s="59"/>
      <c r="N10" s="59"/>
      <c r="O10" s="59"/>
      <c r="P10" s="48">
        <f t="shared" si="0"/>
        <v>60</v>
      </c>
    </row>
    <row r="11" spans="1:16" ht="24.75" customHeight="1">
      <c r="A11" s="53" t="s">
        <v>17</v>
      </c>
      <c r="B11" s="54" t="s">
        <v>157</v>
      </c>
      <c r="C11" s="63" t="s">
        <v>158</v>
      </c>
      <c r="D11" s="56" t="s">
        <v>156</v>
      </c>
      <c r="E11" s="65"/>
      <c r="F11" s="61"/>
      <c r="G11" s="58">
        <v>60</v>
      </c>
      <c r="H11" s="58"/>
      <c r="I11" s="59"/>
      <c r="J11" s="59"/>
      <c r="K11" s="59"/>
      <c r="L11" s="59"/>
      <c r="M11" s="59"/>
      <c r="N11" s="59"/>
      <c r="O11" s="59"/>
      <c r="P11" s="48">
        <f t="shared" si="0"/>
        <v>60</v>
      </c>
    </row>
    <row r="12" spans="1:16" ht="24.75" customHeight="1">
      <c r="A12" s="53" t="s">
        <v>17</v>
      </c>
      <c r="B12" s="56" t="s">
        <v>159</v>
      </c>
      <c r="C12" s="66" t="s">
        <v>96</v>
      </c>
      <c r="D12" s="64" t="s">
        <v>160</v>
      </c>
      <c r="E12" s="67"/>
      <c r="F12" s="58"/>
      <c r="G12" s="58">
        <v>60</v>
      </c>
      <c r="H12" s="58"/>
      <c r="I12" s="59"/>
      <c r="J12" s="59"/>
      <c r="K12" s="59"/>
      <c r="L12" s="59"/>
      <c r="M12" s="59"/>
      <c r="N12" s="59"/>
      <c r="O12" s="59"/>
      <c r="P12" s="48">
        <f t="shared" si="0"/>
        <v>60</v>
      </c>
    </row>
    <row r="13" spans="1:16" ht="24.75" customHeight="1">
      <c r="A13" s="53" t="s">
        <v>17</v>
      </c>
      <c r="B13" s="56" t="s">
        <v>161</v>
      </c>
      <c r="C13" s="68" t="s">
        <v>96</v>
      </c>
      <c r="D13" s="64" t="s">
        <v>160</v>
      </c>
      <c r="E13" s="59"/>
      <c r="F13" s="58"/>
      <c r="G13" s="58">
        <v>60</v>
      </c>
      <c r="H13" s="58"/>
      <c r="I13" s="59"/>
      <c r="J13" s="59"/>
      <c r="K13" s="59"/>
      <c r="L13" s="59"/>
      <c r="M13" s="59"/>
      <c r="N13" s="59"/>
      <c r="O13" s="59"/>
      <c r="P13" s="48">
        <f t="shared" si="0"/>
        <v>60</v>
      </c>
    </row>
    <row r="14" spans="1:16" ht="24.75" customHeight="1">
      <c r="A14" s="53" t="s">
        <v>17</v>
      </c>
      <c r="B14" s="69" t="s">
        <v>162</v>
      </c>
      <c r="C14" s="68" t="s">
        <v>97</v>
      </c>
      <c r="D14" s="69" t="s">
        <v>163</v>
      </c>
      <c r="E14" s="59"/>
      <c r="F14" s="58"/>
      <c r="G14" s="58"/>
      <c r="H14" s="58"/>
      <c r="I14" s="59"/>
      <c r="J14" s="59"/>
      <c r="K14" s="59"/>
      <c r="L14" s="59"/>
      <c r="M14" s="59"/>
      <c r="N14" s="59"/>
      <c r="O14" s="59"/>
      <c r="P14" s="48">
        <f t="shared" si="0"/>
        <v>0</v>
      </c>
    </row>
    <row r="15" spans="1:16" ht="24.75" customHeight="1">
      <c r="A15" s="53" t="s">
        <v>17</v>
      </c>
      <c r="B15" s="69" t="s">
        <v>164</v>
      </c>
      <c r="C15" s="68" t="s">
        <v>98</v>
      </c>
      <c r="D15" s="70" t="s">
        <v>165</v>
      </c>
      <c r="E15" s="59"/>
      <c r="F15" s="58"/>
      <c r="G15" s="58"/>
      <c r="H15" s="58"/>
      <c r="I15" s="59"/>
      <c r="J15" s="59"/>
      <c r="K15" s="59"/>
      <c r="L15" s="59"/>
      <c r="M15" s="59"/>
      <c r="N15" s="59"/>
      <c r="O15" s="59"/>
      <c r="P15" s="48">
        <f t="shared" si="0"/>
        <v>0</v>
      </c>
    </row>
    <row r="16" spans="1:16" ht="24.75" customHeight="1">
      <c r="A16" s="53" t="s">
        <v>17</v>
      </c>
      <c r="B16" s="69" t="s">
        <v>166</v>
      </c>
      <c r="C16" s="68" t="s">
        <v>167</v>
      </c>
      <c r="D16" s="69" t="s">
        <v>168</v>
      </c>
      <c r="E16" s="59"/>
      <c r="F16" s="58"/>
      <c r="G16" s="58"/>
      <c r="H16" s="58"/>
      <c r="I16" s="59"/>
      <c r="J16" s="59"/>
      <c r="K16" s="59"/>
      <c r="L16" s="59"/>
      <c r="M16" s="59"/>
      <c r="N16" s="59"/>
      <c r="O16" s="59"/>
      <c r="P16" s="48">
        <f t="shared" si="0"/>
        <v>0</v>
      </c>
    </row>
    <row r="17" spans="1:16" ht="24.75" customHeight="1">
      <c r="A17" s="53" t="s">
        <v>17</v>
      </c>
      <c r="B17" s="69" t="s">
        <v>169</v>
      </c>
      <c r="C17" s="68" t="s">
        <v>167</v>
      </c>
      <c r="D17" s="70" t="s">
        <v>168</v>
      </c>
      <c r="E17" s="59"/>
      <c r="F17" s="58"/>
      <c r="G17" s="58"/>
      <c r="H17" s="58"/>
      <c r="I17" s="59"/>
      <c r="J17" s="59"/>
      <c r="K17" s="59"/>
      <c r="L17" s="59"/>
      <c r="M17" s="59"/>
      <c r="N17" s="59"/>
      <c r="O17" s="59"/>
      <c r="P17" s="48">
        <f t="shared" si="0"/>
        <v>0</v>
      </c>
    </row>
    <row r="18" spans="1:16" ht="24.75" customHeight="1">
      <c r="A18" s="53" t="s">
        <v>17</v>
      </c>
      <c r="B18" s="69" t="s">
        <v>170</v>
      </c>
      <c r="C18" s="68" t="s">
        <v>100</v>
      </c>
      <c r="D18" s="69" t="s">
        <v>171</v>
      </c>
      <c r="E18" s="59"/>
      <c r="F18" s="58"/>
      <c r="G18" s="58"/>
      <c r="H18" s="58"/>
      <c r="I18" s="59"/>
      <c r="J18" s="59"/>
      <c r="K18" s="59"/>
      <c r="L18" s="59"/>
      <c r="M18" s="59"/>
      <c r="N18" s="59"/>
      <c r="O18" s="59"/>
      <c r="P18" s="48">
        <f t="shared" si="0"/>
        <v>0</v>
      </c>
    </row>
    <row r="19" spans="1:16" ht="24.75" customHeight="1">
      <c r="A19" s="53" t="s">
        <v>17</v>
      </c>
      <c r="B19" s="69" t="s">
        <v>172</v>
      </c>
      <c r="C19" s="60" t="s">
        <v>100</v>
      </c>
      <c r="D19" s="69" t="s">
        <v>171</v>
      </c>
      <c r="E19" s="59"/>
      <c r="F19" s="58"/>
      <c r="G19" s="58"/>
      <c r="H19" s="58"/>
      <c r="I19" s="59"/>
      <c r="J19" s="59"/>
      <c r="K19" s="59"/>
      <c r="L19" s="59"/>
      <c r="M19" s="59"/>
      <c r="N19" s="59"/>
      <c r="O19" s="59"/>
      <c r="P19" s="48">
        <f t="shared" si="0"/>
        <v>0</v>
      </c>
    </row>
    <row r="20" spans="1:16" ht="24.75" customHeight="1">
      <c r="A20" s="53" t="s">
        <v>17</v>
      </c>
      <c r="B20" s="69" t="s">
        <v>173</v>
      </c>
      <c r="C20" s="68" t="s">
        <v>101</v>
      </c>
      <c r="D20" s="69" t="s">
        <v>174</v>
      </c>
      <c r="E20" s="71"/>
      <c r="F20" s="72"/>
      <c r="G20" s="72"/>
      <c r="H20" s="72"/>
      <c r="I20" s="71"/>
      <c r="J20" s="71"/>
      <c r="K20" s="71"/>
      <c r="L20" s="71"/>
      <c r="M20" s="71"/>
      <c r="N20" s="71"/>
      <c r="O20" s="71"/>
      <c r="P20" s="48">
        <f t="shared" si="0"/>
        <v>0</v>
      </c>
    </row>
    <row r="21" spans="1:16" ht="27.75" customHeight="1">
      <c r="A21" s="53"/>
      <c r="B21" s="69"/>
      <c r="C21" s="68"/>
      <c r="D21" s="69"/>
      <c r="E21" s="71"/>
      <c r="F21" s="72"/>
      <c r="G21" s="72"/>
      <c r="H21" s="72"/>
      <c r="I21" s="71"/>
      <c r="J21" s="71"/>
      <c r="K21" s="71"/>
      <c r="L21" s="71"/>
      <c r="M21" s="71"/>
      <c r="N21" s="71"/>
      <c r="O21" s="71"/>
      <c r="P21" s="48"/>
    </row>
    <row r="22" spans="1:16" ht="21" customHeight="1">
      <c r="A22" s="53" t="s">
        <v>17</v>
      </c>
      <c r="B22" s="69" t="s">
        <v>175</v>
      </c>
      <c r="C22" s="68" t="s">
        <v>55</v>
      </c>
      <c r="D22" s="70" t="s">
        <v>176</v>
      </c>
      <c r="E22" s="73"/>
      <c r="F22" s="58"/>
      <c r="G22" s="58"/>
      <c r="H22" s="58"/>
      <c r="I22" s="74"/>
      <c r="J22" s="74"/>
      <c r="K22" s="74"/>
      <c r="L22" s="74"/>
      <c r="M22" s="74"/>
      <c r="N22" s="74"/>
      <c r="O22" s="74"/>
      <c r="P22" s="48">
        <f t="shared" si="0"/>
        <v>0</v>
      </c>
    </row>
    <row r="23" spans="1:16" ht="21" customHeight="1">
      <c r="A23" s="53" t="s">
        <v>17</v>
      </c>
      <c r="B23" s="69" t="s">
        <v>175</v>
      </c>
      <c r="C23" s="68" t="s">
        <v>177</v>
      </c>
      <c r="D23" s="70" t="s">
        <v>178</v>
      </c>
      <c r="E23" s="73"/>
      <c r="F23" s="58"/>
      <c r="G23" s="58">
        <v>60</v>
      </c>
      <c r="H23" s="58"/>
      <c r="I23" s="74"/>
      <c r="J23" s="74"/>
      <c r="K23" s="74"/>
      <c r="L23" s="74"/>
      <c r="M23" s="74"/>
      <c r="N23" s="74"/>
      <c r="O23" s="74"/>
      <c r="P23" s="48">
        <f t="shared" si="0"/>
        <v>60</v>
      </c>
    </row>
    <row r="24" spans="1:16" ht="21" customHeight="1">
      <c r="A24" s="53" t="s">
        <v>17</v>
      </c>
      <c r="B24" s="69" t="s">
        <v>175</v>
      </c>
      <c r="C24" s="68" t="s">
        <v>179</v>
      </c>
      <c r="D24" s="56" t="s">
        <v>180</v>
      </c>
      <c r="E24" s="73"/>
      <c r="F24" s="58"/>
      <c r="G24" s="58"/>
      <c r="H24" s="58"/>
      <c r="I24" s="74"/>
      <c r="J24" s="74"/>
      <c r="K24" s="74"/>
      <c r="L24" s="74"/>
      <c r="M24" s="74"/>
      <c r="N24" s="74"/>
      <c r="O24" s="74"/>
      <c r="P24" s="48">
        <f t="shared" si="0"/>
        <v>0</v>
      </c>
    </row>
    <row r="25" spans="1:16" ht="21" customHeight="1">
      <c r="A25" s="53" t="s">
        <v>17</v>
      </c>
      <c r="B25" s="69" t="s">
        <v>175</v>
      </c>
      <c r="C25" s="68" t="s">
        <v>181</v>
      </c>
      <c r="D25" s="70" t="s">
        <v>182</v>
      </c>
      <c r="E25" s="73"/>
      <c r="F25" s="58"/>
      <c r="G25" s="58">
        <v>36</v>
      </c>
      <c r="H25" s="58"/>
      <c r="I25" s="74"/>
      <c r="J25" s="74"/>
      <c r="K25" s="74"/>
      <c r="L25" s="74"/>
      <c r="M25" s="74"/>
      <c r="N25" s="74"/>
      <c r="O25" s="74"/>
      <c r="P25" s="48">
        <f t="shared" si="0"/>
        <v>36</v>
      </c>
    </row>
    <row r="26" spans="1:16" ht="21" customHeight="1">
      <c r="A26" s="53" t="s">
        <v>17</v>
      </c>
      <c r="B26" s="69" t="s">
        <v>175</v>
      </c>
      <c r="C26" s="68" t="s">
        <v>183</v>
      </c>
      <c r="D26" s="70" t="s">
        <v>183</v>
      </c>
      <c r="E26" s="73"/>
      <c r="F26" s="58"/>
      <c r="G26" s="58"/>
      <c r="H26" s="58"/>
      <c r="I26" s="74"/>
      <c r="J26" s="74"/>
      <c r="K26" s="74"/>
      <c r="L26" s="74"/>
      <c r="M26" s="74"/>
      <c r="N26" s="74"/>
      <c r="O26" s="74"/>
      <c r="P26" s="48">
        <f t="shared" si="0"/>
        <v>0</v>
      </c>
    </row>
    <row r="27" spans="1:16" ht="21" customHeight="1">
      <c r="A27" s="53" t="s">
        <v>17</v>
      </c>
      <c r="B27" s="69" t="s">
        <v>175</v>
      </c>
      <c r="C27" s="68" t="s">
        <v>184</v>
      </c>
      <c r="D27" s="70" t="s">
        <v>184</v>
      </c>
      <c r="E27" s="73"/>
      <c r="F27" s="58"/>
      <c r="G27" s="58">
        <v>60</v>
      </c>
      <c r="H27" s="58"/>
      <c r="I27" s="74"/>
      <c r="J27" s="74"/>
      <c r="K27" s="74"/>
      <c r="L27" s="74"/>
      <c r="M27" s="74"/>
      <c r="N27" s="74"/>
      <c r="O27" s="74"/>
      <c r="P27" s="48">
        <f t="shared" si="0"/>
        <v>60</v>
      </c>
    </row>
    <row r="28" spans="1:16" ht="21" customHeight="1">
      <c r="A28" s="53" t="s">
        <v>17</v>
      </c>
      <c r="B28" s="69" t="s">
        <v>175</v>
      </c>
      <c r="C28" s="68" t="s">
        <v>185</v>
      </c>
      <c r="D28" s="70" t="s">
        <v>185</v>
      </c>
      <c r="E28" s="73"/>
      <c r="F28" s="58"/>
      <c r="G28" s="58">
        <v>60</v>
      </c>
      <c r="H28" s="58"/>
      <c r="I28" s="74"/>
      <c r="J28" s="74"/>
      <c r="K28" s="74"/>
      <c r="L28" s="74"/>
      <c r="M28" s="74"/>
      <c r="N28" s="74"/>
      <c r="O28" s="74"/>
      <c r="P28" s="48">
        <f t="shared" si="0"/>
        <v>60</v>
      </c>
    </row>
    <row r="29" spans="1:16" ht="27.75" customHeight="1">
      <c r="A29" s="53"/>
      <c r="B29" s="69"/>
      <c r="C29" s="68"/>
      <c r="D29" s="70"/>
      <c r="E29" s="73"/>
      <c r="F29" s="58"/>
      <c r="G29" s="58"/>
      <c r="H29" s="58"/>
      <c r="I29" s="74"/>
      <c r="J29" s="74"/>
      <c r="K29" s="74"/>
      <c r="L29" s="74"/>
      <c r="M29" s="74"/>
      <c r="N29" s="74"/>
      <c r="O29" s="74"/>
      <c r="P29" s="48"/>
    </row>
    <row r="30" spans="1:16" ht="21" customHeight="1">
      <c r="A30" s="75" t="s">
        <v>81</v>
      </c>
      <c r="B30" s="69" t="s">
        <v>186</v>
      </c>
      <c r="C30" s="68" t="s">
        <v>184</v>
      </c>
      <c r="D30" s="70" t="s">
        <v>184</v>
      </c>
      <c r="E30" s="58">
        <v>60</v>
      </c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48">
        <f t="shared" si="0"/>
        <v>60</v>
      </c>
    </row>
    <row r="31" spans="1:16" ht="21" customHeight="1">
      <c r="A31" s="75" t="s">
        <v>81</v>
      </c>
      <c r="B31" s="69" t="s">
        <v>186</v>
      </c>
      <c r="C31" s="68" t="s">
        <v>177</v>
      </c>
      <c r="D31" s="69" t="s">
        <v>178</v>
      </c>
      <c r="E31" s="58">
        <v>60</v>
      </c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48">
        <f t="shared" si="0"/>
        <v>60</v>
      </c>
    </row>
    <row r="32" spans="1:16" ht="21" customHeight="1">
      <c r="A32" s="75" t="s">
        <v>81</v>
      </c>
      <c r="B32" s="69" t="s">
        <v>186</v>
      </c>
      <c r="C32" s="68" t="s">
        <v>179</v>
      </c>
      <c r="D32" s="64" t="s">
        <v>180</v>
      </c>
      <c r="E32" s="58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48">
        <f t="shared" si="0"/>
        <v>0</v>
      </c>
    </row>
    <row r="33" spans="1:19" ht="21" customHeight="1">
      <c r="A33" s="75" t="s">
        <v>81</v>
      </c>
      <c r="B33" s="69" t="s">
        <v>186</v>
      </c>
      <c r="C33" s="68" t="s">
        <v>55</v>
      </c>
      <c r="D33" s="64" t="s">
        <v>176</v>
      </c>
      <c r="E33" s="58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48">
        <f t="shared" si="0"/>
        <v>0</v>
      </c>
    </row>
    <row r="34" spans="1:19" ht="21" customHeight="1">
      <c r="A34" s="75" t="s">
        <v>84</v>
      </c>
      <c r="B34" s="69" t="s">
        <v>186</v>
      </c>
      <c r="C34" s="60" t="s">
        <v>183</v>
      </c>
      <c r="D34" s="70" t="s">
        <v>183</v>
      </c>
      <c r="E34" s="58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48">
        <f t="shared" si="0"/>
        <v>0</v>
      </c>
    </row>
    <row r="35" spans="1:19" ht="21" customHeight="1">
      <c r="A35" s="75" t="s">
        <v>84</v>
      </c>
      <c r="B35" s="69" t="s">
        <v>186</v>
      </c>
      <c r="C35" s="60" t="s">
        <v>185</v>
      </c>
      <c r="D35" s="70" t="s">
        <v>185</v>
      </c>
      <c r="E35" s="58">
        <v>60</v>
      </c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48">
        <f t="shared" si="0"/>
        <v>60</v>
      </c>
    </row>
    <row r="36" spans="1:19" ht="21" customHeight="1">
      <c r="A36" s="75" t="s">
        <v>84</v>
      </c>
      <c r="B36" s="69" t="s">
        <v>186</v>
      </c>
      <c r="C36" s="68" t="s">
        <v>182</v>
      </c>
      <c r="D36" s="69" t="s">
        <v>182</v>
      </c>
      <c r="E36" s="58">
        <v>36</v>
      </c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48">
        <f t="shared" si="0"/>
        <v>36</v>
      </c>
    </row>
    <row r="37" spans="1:19" ht="27.75" customHeight="1">
      <c r="A37" s="75"/>
      <c r="B37" s="69"/>
      <c r="C37" s="68"/>
      <c r="D37" s="69"/>
      <c r="E37" s="58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48"/>
    </row>
    <row r="38" spans="1:19" ht="18.75" customHeight="1">
      <c r="A38" s="75" t="s">
        <v>187</v>
      </c>
      <c r="B38" s="69" t="s">
        <v>188</v>
      </c>
      <c r="C38" s="68" t="s">
        <v>183</v>
      </c>
      <c r="D38" s="76" t="s">
        <v>183</v>
      </c>
      <c r="E38" s="73"/>
      <c r="F38" s="74"/>
      <c r="G38" s="74"/>
      <c r="H38" s="58"/>
      <c r="I38" s="58"/>
      <c r="J38" s="74"/>
      <c r="K38" s="74"/>
      <c r="L38" s="74"/>
      <c r="M38" s="74"/>
      <c r="N38" s="74"/>
      <c r="O38" s="74"/>
      <c r="P38" s="48">
        <f t="shared" si="0"/>
        <v>0</v>
      </c>
    </row>
    <row r="39" spans="1:19" ht="18.75" customHeight="1">
      <c r="A39" s="75" t="s">
        <v>187</v>
      </c>
      <c r="B39" s="69" t="s">
        <v>188</v>
      </c>
      <c r="C39" s="68" t="s">
        <v>185</v>
      </c>
      <c r="D39" s="69" t="s">
        <v>185</v>
      </c>
      <c r="E39" s="73"/>
      <c r="F39" s="74"/>
      <c r="G39" s="74"/>
      <c r="H39" s="58"/>
      <c r="I39" s="58"/>
      <c r="J39" s="74"/>
      <c r="K39" s="74"/>
      <c r="L39" s="74"/>
      <c r="M39" s="74"/>
      <c r="N39" s="74"/>
      <c r="O39" s="74"/>
      <c r="P39" s="48">
        <f t="shared" si="0"/>
        <v>0</v>
      </c>
    </row>
    <row r="40" spans="1:19" ht="18.75" customHeight="1">
      <c r="A40" s="75" t="s">
        <v>187</v>
      </c>
      <c r="B40" s="69" t="s">
        <v>188</v>
      </c>
      <c r="C40" s="68" t="s">
        <v>182</v>
      </c>
      <c r="D40" s="64" t="s">
        <v>182</v>
      </c>
      <c r="E40" s="73"/>
      <c r="F40" s="74"/>
      <c r="G40" s="74"/>
      <c r="H40" s="58"/>
      <c r="I40" s="58"/>
      <c r="J40" s="74"/>
      <c r="K40" s="74"/>
      <c r="L40" s="74"/>
      <c r="M40" s="74"/>
      <c r="N40" s="74"/>
      <c r="O40" s="74"/>
      <c r="P40" s="48">
        <f t="shared" si="0"/>
        <v>0</v>
      </c>
    </row>
    <row r="41" spans="1:19" ht="18.75" customHeight="1">
      <c r="A41" s="75" t="s">
        <v>187</v>
      </c>
      <c r="B41" s="69" t="s">
        <v>188</v>
      </c>
      <c r="C41" s="68" t="s">
        <v>184</v>
      </c>
      <c r="D41" s="64" t="s">
        <v>184</v>
      </c>
      <c r="E41" s="73"/>
      <c r="F41" s="74"/>
      <c r="G41" s="74"/>
      <c r="H41" s="58"/>
      <c r="I41" s="58"/>
      <c r="J41" s="74"/>
      <c r="K41" s="74"/>
      <c r="L41" s="74"/>
      <c r="M41" s="74"/>
      <c r="N41" s="74"/>
      <c r="O41" s="74"/>
      <c r="P41" s="48">
        <f t="shared" si="0"/>
        <v>0</v>
      </c>
    </row>
    <row r="42" spans="1:19" ht="18.75" customHeight="1">
      <c r="A42" s="75" t="s">
        <v>187</v>
      </c>
      <c r="B42" s="69" t="s">
        <v>188</v>
      </c>
      <c r="C42" s="68" t="s">
        <v>177</v>
      </c>
      <c r="D42" s="69" t="s">
        <v>178</v>
      </c>
      <c r="E42" s="73"/>
      <c r="F42" s="74"/>
      <c r="G42" s="74"/>
      <c r="H42" s="58"/>
      <c r="I42" s="58"/>
      <c r="J42" s="74"/>
      <c r="K42" s="74"/>
      <c r="L42" s="74"/>
      <c r="M42" s="74"/>
      <c r="N42" s="74"/>
      <c r="O42" s="74"/>
      <c r="P42" s="48">
        <f t="shared" si="0"/>
        <v>0</v>
      </c>
    </row>
    <row r="43" spans="1:19" ht="18.75" customHeight="1">
      <c r="A43" s="75" t="s">
        <v>187</v>
      </c>
      <c r="B43" s="69" t="s">
        <v>188</v>
      </c>
      <c r="C43" s="68" t="s">
        <v>179</v>
      </c>
      <c r="D43" s="70" t="s">
        <v>180</v>
      </c>
      <c r="E43" s="73"/>
      <c r="F43" s="74"/>
      <c r="G43" s="74"/>
      <c r="H43" s="58"/>
      <c r="I43" s="58"/>
      <c r="J43" s="74"/>
      <c r="K43" s="74"/>
      <c r="L43" s="74"/>
      <c r="M43" s="74"/>
      <c r="N43" s="74"/>
      <c r="O43" s="74"/>
      <c r="P43" s="48">
        <f t="shared" si="0"/>
        <v>0</v>
      </c>
    </row>
    <row r="44" spans="1:19" ht="18.75" customHeight="1">
      <c r="A44" s="75" t="s">
        <v>187</v>
      </c>
      <c r="B44" s="69" t="s">
        <v>188</v>
      </c>
      <c r="C44" s="68" t="s">
        <v>55</v>
      </c>
      <c r="D44" s="70" t="s">
        <v>176</v>
      </c>
      <c r="E44" s="73"/>
      <c r="F44" s="74"/>
      <c r="G44" s="74"/>
      <c r="H44" s="58"/>
      <c r="I44" s="58"/>
      <c r="J44" s="74"/>
      <c r="K44" s="74"/>
      <c r="L44" s="74"/>
      <c r="M44" s="74"/>
      <c r="N44" s="74"/>
      <c r="O44" s="74"/>
      <c r="P44" s="48">
        <f t="shared" si="0"/>
        <v>0</v>
      </c>
    </row>
    <row r="45" spans="1:19" ht="27.75" customHeight="1">
      <c r="A45" s="75"/>
      <c r="B45" s="69"/>
      <c r="C45" s="68"/>
      <c r="D45" s="70"/>
      <c r="E45" s="73"/>
      <c r="F45" s="74"/>
      <c r="G45" s="74"/>
      <c r="H45" s="58"/>
      <c r="I45" s="58"/>
      <c r="J45" s="74"/>
      <c r="K45" s="74"/>
      <c r="L45" s="74"/>
      <c r="M45" s="74"/>
      <c r="N45" s="74"/>
      <c r="O45" s="74"/>
      <c r="P45" s="48"/>
      <c r="S45">
        <f>3*36</f>
        <v>108</v>
      </c>
    </row>
    <row r="46" spans="1:19" ht="21" customHeight="1">
      <c r="A46" s="75" t="s">
        <v>71</v>
      </c>
      <c r="B46" s="69" t="s">
        <v>189</v>
      </c>
      <c r="C46" s="68" t="s">
        <v>95</v>
      </c>
      <c r="D46" s="70" t="s">
        <v>156</v>
      </c>
      <c r="E46" s="73"/>
      <c r="F46" s="74"/>
      <c r="G46" s="74"/>
      <c r="H46" s="74"/>
      <c r="I46" s="74"/>
      <c r="J46" s="74"/>
      <c r="K46" s="77">
        <v>36</v>
      </c>
      <c r="L46" s="77"/>
      <c r="M46" s="77"/>
      <c r="N46" s="77"/>
      <c r="O46" s="77"/>
      <c r="P46" s="48">
        <f t="shared" si="0"/>
        <v>36</v>
      </c>
      <c r="S46">
        <f>36+36</f>
        <v>72</v>
      </c>
    </row>
    <row r="47" spans="1:19" ht="21" customHeight="1">
      <c r="A47" s="78" t="s">
        <v>71</v>
      </c>
      <c r="B47" s="56" t="s">
        <v>190</v>
      </c>
      <c r="C47" s="68" t="s">
        <v>97</v>
      </c>
      <c r="D47" s="56" t="s">
        <v>163</v>
      </c>
      <c r="E47" s="79"/>
      <c r="F47" s="73"/>
      <c r="G47" s="73"/>
      <c r="H47" s="73"/>
      <c r="I47" s="73"/>
      <c r="J47" s="73"/>
      <c r="K47" s="77"/>
      <c r="L47" s="80">
        <v>36</v>
      </c>
      <c r="M47" s="80"/>
      <c r="N47" s="80"/>
      <c r="O47" s="80"/>
      <c r="P47" s="48">
        <f t="shared" si="0"/>
        <v>36</v>
      </c>
      <c r="S47" t="s">
        <v>196</v>
      </c>
    </row>
    <row r="48" spans="1:19" ht="21" customHeight="1">
      <c r="A48" s="78" t="s">
        <v>61</v>
      </c>
      <c r="B48" s="56" t="s">
        <v>191</v>
      </c>
      <c r="C48" s="68" t="s">
        <v>96</v>
      </c>
      <c r="D48" s="56" t="s">
        <v>160</v>
      </c>
      <c r="E48" s="73"/>
      <c r="F48" s="73"/>
      <c r="G48" s="73"/>
      <c r="H48" s="73"/>
      <c r="I48" s="73"/>
      <c r="J48" s="73"/>
      <c r="K48" s="77"/>
      <c r="L48" s="80"/>
      <c r="M48" s="80">
        <v>36</v>
      </c>
      <c r="N48" s="80"/>
      <c r="O48" s="80"/>
      <c r="P48" s="48">
        <f t="shared" si="0"/>
        <v>36</v>
      </c>
      <c r="S48">
        <f>516+72</f>
        <v>588</v>
      </c>
    </row>
    <row r="49" spans="1:19" ht="21" customHeight="1">
      <c r="A49" s="78" t="s">
        <v>192</v>
      </c>
      <c r="B49" s="56" t="s">
        <v>193</v>
      </c>
      <c r="C49" s="68" t="s">
        <v>194</v>
      </c>
      <c r="D49" s="56" t="s">
        <v>171</v>
      </c>
      <c r="E49" s="73"/>
      <c r="F49" s="73"/>
      <c r="G49" s="73"/>
      <c r="H49" s="73"/>
      <c r="I49" s="73"/>
      <c r="J49" s="73"/>
      <c r="K49" s="77"/>
      <c r="L49" s="80"/>
      <c r="M49" s="80"/>
      <c r="N49" s="80">
        <v>36</v>
      </c>
      <c r="O49" s="80"/>
      <c r="P49" s="48">
        <f t="shared" si="0"/>
        <v>36</v>
      </c>
      <c r="S49">
        <f>216+108</f>
        <v>324</v>
      </c>
    </row>
    <row r="50" spans="1:19" ht="21" customHeight="1">
      <c r="A50" s="78" t="s">
        <v>61</v>
      </c>
      <c r="B50" s="56" t="s">
        <v>195</v>
      </c>
      <c r="C50" s="68" t="s">
        <v>95</v>
      </c>
      <c r="D50" s="56" t="s">
        <v>156</v>
      </c>
      <c r="E50" s="73"/>
      <c r="F50" s="73"/>
      <c r="G50" s="73"/>
      <c r="H50" s="73"/>
      <c r="I50" s="73"/>
      <c r="J50" s="73"/>
      <c r="K50" s="77"/>
      <c r="L50" s="80"/>
      <c r="M50" s="80"/>
      <c r="N50" s="80"/>
      <c r="O50" s="80">
        <v>36</v>
      </c>
      <c r="P50" s="48">
        <f t="shared" si="0"/>
        <v>36</v>
      </c>
      <c r="R50">
        <f>5*36</f>
        <v>180</v>
      </c>
    </row>
    <row r="51" spans="1:19" ht="15.75" thickBot="1">
      <c r="A51" s="81"/>
      <c r="B51" s="82"/>
      <c r="C51" s="83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36"/>
    </row>
    <row r="52" spans="1:19" ht="15.75" thickBot="1">
      <c r="A52" s="49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>
        <f>SUM(P7:P50)</f>
        <v>912</v>
      </c>
    </row>
    <row r="67" spans="5:5">
      <c r="E67" t="s">
        <v>197</v>
      </c>
    </row>
    <row r="68" spans="5:5">
      <c r="E68" t="s">
        <v>197</v>
      </c>
    </row>
    <row r="69" spans="5:5">
      <c r="E69" t="s">
        <v>198</v>
      </c>
    </row>
    <row r="70" spans="5:5">
      <c r="E70" t="s">
        <v>199</v>
      </c>
    </row>
    <row r="71" spans="5:5">
      <c r="E71" t="s">
        <v>200</v>
      </c>
    </row>
    <row r="72" spans="5:5">
      <c r="E72" t="s">
        <v>200</v>
      </c>
    </row>
    <row r="73" spans="5:5">
      <c r="E73" t="s">
        <v>200</v>
      </c>
    </row>
    <row r="74" spans="5:5">
      <c r="E74" t="s">
        <v>200</v>
      </c>
    </row>
    <row r="75" spans="5:5">
      <c r="E75" t="s">
        <v>200</v>
      </c>
    </row>
    <row r="76" spans="5:5">
      <c r="E76" t="s">
        <v>201</v>
      </c>
    </row>
    <row r="77" spans="5:5">
      <c r="E77" t="s">
        <v>201</v>
      </c>
    </row>
    <row r="78" spans="5:5">
      <c r="E78" t="s">
        <v>202</v>
      </c>
    </row>
    <row r="79" spans="5:5">
      <c r="E79" t="s">
        <v>202</v>
      </c>
    </row>
    <row r="80" spans="5:5">
      <c r="E80" t="s">
        <v>202</v>
      </c>
    </row>
    <row r="81" spans="5:5">
      <c r="E81" t="s">
        <v>203</v>
      </c>
    </row>
  </sheetData>
  <mergeCells count="4">
    <mergeCell ref="D2:G2"/>
    <mergeCell ref="F4:I4"/>
    <mergeCell ref="J4:O4"/>
    <mergeCell ref="A5:D5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STOCK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ThinkStation P510</cp:lastModifiedBy>
  <cp:lastPrinted>2026-08-18T10:43:51Z</cp:lastPrinted>
  <dcterms:modified xsi:type="dcterms:W3CDTF">2026-08-24T13:23:06Z</dcterms:modified>
</cp:coreProperties>
</file>